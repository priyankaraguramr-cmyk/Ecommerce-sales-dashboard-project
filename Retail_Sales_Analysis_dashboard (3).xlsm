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NirmalManiC\Downloads\"/>
    </mc:Choice>
  </mc:AlternateContent>
  <xr:revisionPtr revIDLastSave="0" documentId="13_ncr:1_{F7E732AB-E79A-4D92-9110-7E55CDAB343A}" xr6:coauthVersionLast="47" xr6:coauthVersionMax="47" xr10:uidLastSave="{00000000-0000-0000-0000-000000000000}"/>
  <bookViews>
    <workbookView xWindow="28680" yWindow="-120" windowWidth="29040" windowHeight="15720" tabRatio="500" xr2:uid="{00000000-000D-0000-FFFF-FFFF00000000}"/>
  </bookViews>
  <sheets>
    <sheet name="Final Dashboard" sheetId="1" r:id="rId1"/>
    <sheet name="Sales Dashboard" sheetId="2" r:id="rId2"/>
    <sheet name="Sales" sheetId="3" r:id="rId3"/>
    <sheet name="product table" sheetId="4" r:id="rId4"/>
    <sheet name="stores table" sheetId="5" r:id="rId5"/>
    <sheet name="Date Vs unit sold" sheetId="6" r:id="rId6"/>
    <sheet name="Product Vs region unit sold" sheetId="7" r:id="rId7"/>
    <sheet name="Product category Vs unit sold" sheetId="8" r:id="rId8"/>
    <sheet name="product ID Vs Revenue" sheetId="9" r:id="rId9"/>
    <sheet name="Store &amp; Region Analysis" sheetId="10" r:id="rId10"/>
    <sheet name="Product Performance" sheetId="11" r:id="rId11"/>
    <sheet name="Daily Sales Trend" sheetId="12" r:id="rId12"/>
    <sheet name="Charts" sheetId="13" r:id="rId13"/>
    <sheet name="PT_ByProduct" sheetId="14" r:id="rId14"/>
    <sheet name="PT_ByRegion" sheetId="15" r:id="rId15"/>
    <sheet name="PT_ByStore" sheetId="16" r:id="rId16"/>
    <sheet name="PT_ByDate" sheetId="17" r:id="rId17"/>
  </sheets>
  <definedNames>
    <definedName name="_xlcn.WorksheetConnection_Pivot_Tables_Training_DatasetCopy.xlsxProduct1">#REF!</definedName>
    <definedName name="_xlcn.WorksheetConnection_Pivot_Tables_Training_DatasetCopy.xlsxSales1">#REF!</definedName>
    <definedName name="_xlcn.WorksheetConnection_Session8pivottablecreationclassCopy.xlsxStores1">#REF!</definedName>
    <definedName name="Slicer_Category">#N/A</definedName>
    <definedName name="Slicer_Date">#REF!</definedName>
    <definedName name="Slicer_product_category">#REF!</definedName>
    <definedName name="Slicer_Product_name">#REF!</definedName>
    <definedName name="Slicer_ProductID">#REF!</definedName>
    <definedName name="Slicer_ProductName">#N/A</definedName>
    <definedName name="Slicer_region">#REF!</definedName>
    <definedName name="Slicer_Region1">#N/A</definedName>
    <definedName name="Slicer_StoreName">#N/A</definedName>
    <definedName name="Store">#REF!</definedName>
    <definedName name="Timeline_Date">#REF!</definedName>
  </definedNames>
  <calcPr calcId="191029" iterateDelta="1E-4"/>
  <pivotCaches>
    <pivotCache cacheId="0" r:id="rId18"/>
  </pivotCaches>
  <extLst>
    <ext xmlns:x14="http://schemas.microsoft.com/office/spreadsheetml/2009/9/main" uri="{BBE1A952-AA13-448e-AADC-164F8A28A991}">
      <x14:slicerCaches>
        <x14:slicerCache r:id="rId19"/>
        <x14:slicerCache r:id="rId20"/>
        <x14:slicerCache r:id="rId21"/>
        <x14:slicerCache r:id="rId2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1" l="1"/>
  <c r="D5" i="1"/>
  <c r="G5" i="1"/>
  <c r="J5" i="1"/>
  <c r="J27" i="3"/>
  <c r="I27" i="3"/>
  <c r="H27" i="3"/>
  <c r="G27" i="3"/>
  <c r="F27" i="3"/>
  <c r="E27" i="3"/>
  <c r="J26" i="3"/>
  <c r="I26" i="3"/>
  <c r="H26" i="3"/>
  <c r="G26" i="3"/>
  <c r="F26" i="3"/>
  <c r="E26" i="3"/>
  <c r="J25" i="3"/>
  <c r="I25" i="3"/>
  <c r="H25" i="3"/>
  <c r="G25" i="3"/>
  <c r="F25" i="3"/>
  <c r="E25" i="3"/>
  <c r="J24" i="3"/>
  <c r="I24" i="3"/>
  <c r="H24" i="3"/>
  <c r="G24" i="3"/>
  <c r="F24" i="3"/>
  <c r="E24" i="3"/>
  <c r="J23" i="3"/>
  <c r="I23" i="3"/>
  <c r="H23" i="3"/>
  <c r="G23" i="3"/>
  <c r="F23" i="3"/>
  <c r="E23" i="3"/>
  <c r="J22" i="3"/>
  <c r="I22" i="3"/>
  <c r="H22" i="3"/>
  <c r="G22" i="3"/>
  <c r="F22" i="3"/>
  <c r="E22" i="3"/>
  <c r="J21" i="3"/>
  <c r="I21" i="3"/>
  <c r="H21" i="3"/>
  <c r="G21" i="3"/>
  <c r="F21" i="3"/>
  <c r="E21" i="3"/>
  <c r="J20" i="3"/>
  <c r="I20" i="3"/>
  <c r="H20" i="3"/>
  <c r="G20" i="3"/>
  <c r="F20" i="3"/>
  <c r="E20" i="3"/>
  <c r="J19" i="3"/>
  <c r="I19" i="3"/>
  <c r="H19" i="3"/>
  <c r="G19" i="3"/>
  <c r="F19" i="3"/>
  <c r="E19" i="3"/>
  <c r="J18" i="3"/>
  <c r="I18" i="3"/>
  <c r="H18" i="3"/>
  <c r="G18" i="3"/>
  <c r="F18" i="3"/>
  <c r="E18" i="3"/>
  <c r="J17" i="3"/>
  <c r="I17" i="3"/>
  <c r="H17" i="3"/>
  <c r="G17" i="3"/>
  <c r="F17" i="3"/>
  <c r="E17" i="3"/>
  <c r="J16" i="3"/>
  <c r="I16" i="3"/>
  <c r="H16" i="3"/>
  <c r="G16" i="3"/>
  <c r="F16" i="3"/>
  <c r="E16" i="3"/>
  <c r="J15" i="3"/>
  <c r="I15" i="3"/>
  <c r="H15" i="3"/>
  <c r="G15" i="3"/>
  <c r="F15" i="3"/>
  <c r="E15" i="3"/>
  <c r="J14" i="3"/>
  <c r="I14" i="3"/>
  <c r="H14" i="3"/>
  <c r="G14" i="3"/>
  <c r="F14" i="3"/>
  <c r="E14" i="3"/>
  <c r="J13" i="3"/>
  <c r="I13" i="3"/>
  <c r="H13" i="3"/>
  <c r="G13" i="3"/>
  <c r="F13" i="3"/>
  <c r="E13" i="3"/>
  <c r="J12" i="3"/>
  <c r="I12" i="3"/>
  <c r="H12" i="3"/>
  <c r="G12" i="3"/>
  <c r="F12" i="3"/>
  <c r="E12" i="3"/>
  <c r="J11" i="3"/>
  <c r="I11" i="3"/>
  <c r="H11" i="3"/>
  <c r="G11" i="3"/>
  <c r="F11" i="3"/>
  <c r="E11" i="3"/>
  <c r="J10" i="3"/>
  <c r="I10" i="3"/>
  <c r="H10" i="3"/>
  <c r="G10" i="3"/>
  <c r="F10" i="3"/>
  <c r="E10" i="3"/>
  <c r="J9" i="3"/>
  <c r="I9" i="3"/>
  <c r="H9" i="3"/>
  <c r="G9" i="3"/>
  <c r="F9" i="3"/>
  <c r="E9" i="3"/>
  <c r="J8" i="3"/>
  <c r="I8" i="3"/>
  <c r="H8" i="3"/>
  <c r="G8" i="3"/>
  <c r="F8" i="3"/>
  <c r="E8" i="3"/>
  <c r="J7" i="3"/>
  <c r="I7" i="3"/>
  <c r="H7" i="3"/>
  <c r="G7" i="3"/>
  <c r="F7" i="3"/>
  <c r="E7" i="3"/>
  <c r="J6" i="3"/>
  <c r="I6" i="3"/>
  <c r="H6" i="3"/>
  <c r="G6" i="3"/>
  <c r="F6" i="3"/>
  <c r="E6" i="3"/>
  <c r="J5" i="3"/>
  <c r="I5" i="3"/>
  <c r="H5" i="3"/>
  <c r="G5" i="3"/>
  <c r="F5" i="3"/>
  <c r="E5" i="3"/>
  <c r="J4" i="3"/>
  <c r="I4" i="3"/>
  <c r="H4" i="3"/>
  <c r="G4" i="3"/>
  <c r="F4" i="3"/>
  <c r="E4" i="3"/>
  <c r="J3" i="3"/>
  <c r="I3" i="3"/>
  <c r="H3" i="3"/>
  <c r="G3" i="3"/>
  <c r="F3" i="3"/>
  <c r="E3" i="3"/>
  <c r="J2" i="3"/>
  <c r="I2" i="3"/>
  <c r="H2" i="3"/>
  <c r="G2" i="3"/>
  <c r="F2" i="3"/>
  <c r="E2" i="3"/>
</calcChain>
</file>

<file path=xl/sharedStrings.xml><?xml version="1.0" encoding="utf-8"?>
<sst xmlns="http://schemas.openxmlformats.org/spreadsheetml/2006/main" count="396" uniqueCount="139">
  <si>
    <t>Date</t>
  </si>
  <si>
    <t>ProductID</t>
  </si>
  <si>
    <t>StoreID</t>
  </si>
  <si>
    <t>Units</t>
  </si>
  <si>
    <t>Revenue</t>
  </si>
  <si>
    <t>ProductName</t>
  </si>
  <si>
    <t>Category</t>
  </si>
  <si>
    <t>StoreName</t>
  </si>
  <si>
    <t>City</t>
  </si>
  <si>
    <t>Region</t>
  </si>
  <si>
    <t>P101</t>
  </si>
  <si>
    <t>S1</t>
  </si>
  <si>
    <t>P102</t>
  </si>
  <si>
    <t>S2</t>
  </si>
  <si>
    <t>P103</t>
  </si>
  <si>
    <t>S3</t>
  </si>
  <si>
    <t>P104</t>
  </si>
  <si>
    <t>P105</t>
  </si>
  <si>
    <t>RETAIL SALES PERFORMANCE DASHBOARD</t>
  </si>
  <si>
    <t>Total Revenue</t>
  </si>
  <si>
    <t>Total Units Sold</t>
  </si>
  <si>
    <t>Average Price</t>
  </si>
  <si>
    <t>Revenue Per Unit</t>
  </si>
  <si>
    <t>Business Insights &amp; Recommendations</t>
  </si>
  <si>
    <t>Top products should be prioritized for inventory planning.</t>
  </si>
  <si>
    <t>Monitor low revenue/high volume products for pricing optimization.</t>
  </si>
  <si>
    <t>Focus sales efforts on the highest revenue region.</t>
  </si>
  <si>
    <t>Review underperforming stores and categories.</t>
  </si>
  <si>
    <t>Use slicers (Date, Region, Store, Category) for interactivity in Excel.</t>
  </si>
  <si>
    <t>Sales Report Dashboard</t>
  </si>
  <si>
    <t>Retail Sales Analysis  |  1 July – 10 July 2025  |  Mumbai • Bengaluru • Delhi</t>
  </si>
  <si>
    <t>KEY PERFORMANCE INDICATORS</t>
  </si>
  <si>
    <t>Average Price per Unit</t>
  </si>
  <si>
    <t>Revenue per Unit</t>
  </si>
  <si>
    <t>₹35,495</t>
  </si>
  <si>
    <t>579</t>
  </si>
  <si>
    <t>₹61</t>
  </si>
  <si>
    <t>₹61.30</t>
  </si>
  <si>
    <t>Product Performance Summary</t>
  </si>
  <si>
    <t>Store &amp; Region Performance</t>
  </si>
  <si>
    <t>Product</t>
  </si>
  <si>
    <t>Revenue (₹)</t>
  </si>
  <si>
    <t>Rev%</t>
  </si>
  <si>
    <t>Store</t>
  </si>
  <si>
    <t>Notebook</t>
  </si>
  <si>
    <t>Stationery</t>
  </si>
  <si>
    <t>37.2%</t>
  </si>
  <si>
    <t>Bengaluru MG Rd</t>
  </si>
  <si>
    <t>Bengaluru</t>
  </si>
  <si>
    <t>South</t>
  </si>
  <si>
    <t>43.5%</t>
  </si>
  <si>
    <t>Stapler</t>
  </si>
  <si>
    <t>Office Supplies</t>
  </si>
  <si>
    <t>27.9%</t>
  </si>
  <si>
    <t>Mumbai Central</t>
  </si>
  <si>
    <t>Mumbai</t>
  </si>
  <si>
    <t>West</t>
  </si>
  <si>
    <t>32.1%</t>
  </si>
  <si>
    <t>Folder</t>
  </si>
  <si>
    <t>16.6%</t>
  </si>
  <si>
    <t>Delhi Connaught</t>
  </si>
  <si>
    <t>Delhi</t>
  </si>
  <si>
    <t>North</t>
  </si>
  <si>
    <t>24.4%</t>
  </si>
  <si>
    <t>Marker</t>
  </si>
  <si>
    <t>10.7%</t>
  </si>
  <si>
    <t>Pen</t>
  </si>
  <si>
    <t>7.6%</t>
  </si>
  <si>
    <t>• Top Product: Notebook with ₹13,200 revenue (37.2% share). Maintain sufficient stock across all stores.</t>
  </si>
  <si>
    <t>• Best Store: Bengaluru MG Rd (Bengaluru) leads revenue. Focus premium product placement and inventory prioritization here.</t>
  </si>
  <si>
    <t>• Top Region: South region contributes ₹15,445. Expand product variety and run targeted promotions in this region.</t>
  </si>
  <si>
    <t>• Low Revenue Product: Pen has low revenue (₹2,685). Consider bundling with high-value products to improve contribution.</t>
  </si>
  <si>
    <t>• Peak Day: 08 Jul had highest revenue ₹6,550. Plan restocking and staffing around recurring peak patterns.</t>
  </si>
  <si>
    <t>Price</t>
  </si>
  <si>
    <t>Sum of Units</t>
  </si>
  <si>
    <t>Column Labels</t>
  </si>
  <si>
    <t>Row Labels</t>
  </si>
  <si>
    <t>Grand Total</t>
  </si>
  <si>
    <t>Count of Units</t>
  </si>
  <si>
    <t>Average of revenue</t>
  </si>
  <si>
    <t>Revenue &amp; Units by Store and Region</t>
  </si>
  <si>
    <t>Store ID</t>
  </si>
  <si>
    <t>Store Name</t>
  </si>
  <si>
    <t>Units Sold</t>
  </si>
  <si>
    <t>Total Revenue (₹)</t>
  </si>
  <si>
    <t>% of Total</t>
  </si>
  <si>
    <t>100%</t>
  </si>
  <si>
    <t>Revenue by Region</t>
  </si>
  <si>
    <t>Product Performance Analysis — Revenue, Units &amp; Pricing</t>
  </si>
  <si>
    <t>Product ID</t>
  </si>
  <si>
    <t>Product Name</t>
  </si>
  <si>
    <t>Price (₹)</t>
  </si>
  <si>
    <t>% of Total Revenue</t>
  </si>
  <si>
    <t>Category Summary — Stationery vs Office Supplies</t>
  </si>
  <si>
    <t>55.5%</t>
  </si>
  <si>
    <t>44.5%</t>
  </si>
  <si>
    <t>Daily Sales Trend — 1 July to 10 July 2025</t>
  </si>
  <si>
    <t>Day</t>
  </si>
  <si>
    <t>Cumulative Revenue (₹)</t>
  </si>
  <si>
    <t>vs Previous Day</t>
  </si>
  <si>
    <t>Tuesday</t>
  </si>
  <si>
    <t>Wednesday</t>
  </si>
  <si>
    <t>+₹455</t>
  </si>
  <si>
    <t>Thursday</t>
  </si>
  <si>
    <t>+₹490</t>
  </si>
  <si>
    <t>Friday</t>
  </si>
  <si>
    <t>-₹2,010</t>
  </si>
  <si>
    <t>Saturday</t>
  </si>
  <si>
    <t>+₹1,670</t>
  </si>
  <si>
    <t>Sunday</t>
  </si>
  <si>
    <t>+₹1,450</t>
  </si>
  <si>
    <t>Monday</t>
  </si>
  <si>
    <t>+₹740</t>
  </si>
  <si>
    <t>+₹1,790</t>
  </si>
  <si>
    <t>-₹3,400</t>
  </si>
  <si>
    <t>+₹3,100</t>
  </si>
  <si>
    <t>TOTAL</t>
  </si>
  <si>
    <t>Highest Revenue Date:</t>
  </si>
  <si>
    <t>₹6,550</t>
  </si>
  <si>
    <t>Lowest Revenue Date:</t>
  </si>
  <si>
    <t>₹900</t>
  </si>
  <si>
    <t>01-Jul</t>
  </si>
  <si>
    <t>02-Jul</t>
  </si>
  <si>
    <t>03-Jul</t>
  </si>
  <si>
    <t>04-Jul</t>
  </si>
  <si>
    <t>05-Jul</t>
  </si>
  <si>
    <t>06-Jul</t>
  </si>
  <si>
    <t>07-Jul</t>
  </si>
  <si>
    <t>08-Jul</t>
  </si>
  <si>
    <t>09-Jul</t>
  </si>
  <si>
    <t>10-Jul</t>
  </si>
  <si>
    <t>Source: Sales sheet | Live PivotTable (auto-refreshes with data)</t>
  </si>
  <si>
    <t>Filter</t>
  </si>
  <si>
    <t>Sum - Revenue</t>
  </si>
  <si>
    <t>Pivot Table 1: Revenue by Product</t>
  </si>
  <si>
    <t>Pivot Table 2: Revenue by Region</t>
  </si>
  <si>
    <t>Pivot Table 3: Revenue by Store</t>
  </si>
  <si>
    <t>Pivot Table 4: Daily Revenue Trend</t>
  </si>
  <si>
    <t>KEY INSIGHTS and Recommendations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</si>
</sst>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
    <numFmt numFmtId="165" formatCode="m/d/yyyy"/>
    <numFmt numFmtId="166" formatCode="d\-mmm"/>
    <numFmt numFmtId="167" formatCode="#,##0.000000000"/>
  </numFmts>
  <fonts count="28" x14ac:knownFonts="1">
    <font>
      <sz val="11"/>
      <color theme="1"/>
      <name val="Calibri"/>
      <charset val="1"/>
    </font>
    <font>
      <b/>
      <sz val="11"/>
      <color theme="1"/>
      <name val="Calibri"/>
      <family val="2"/>
    </font>
    <font>
      <b/>
      <sz val="18"/>
      <name val="Calibri"/>
      <family val="2"/>
    </font>
    <font>
      <b/>
      <sz val="11"/>
      <name val="Calibri"/>
      <family val="2"/>
    </font>
    <font>
      <b/>
      <sz val="14"/>
      <name val="Calibri"/>
      <family val="2"/>
    </font>
    <font>
      <b/>
      <sz val="18"/>
      <color rgb="FF000000"/>
      <name val="Calibri"/>
      <family val="2"/>
    </font>
    <font>
      <sz val="11"/>
      <name val="Cambria"/>
      <family val="1"/>
    </font>
    <font>
      <b/>
      <sz val="11"/>
      <color rgb="FFFFFFFF"/>
      <name val="Calibri"/>
      <family val="2"/>
    </font>
    <font>
      <b/>
      <sz val="10"/>
      <color rgb="FFFFFFFF"/>
      <name val="Calibri"/>
      <family val="2"/>
    </font>
    <font>
      <b/>
      <sz val="16"/>
      <color rgb="FF2E75B6"/>
      <name val="Calibri"/>
      <family val="2"/>
    </font>
    <font>
      <b/>
      <sz val="16"/>
      <color rgb="FF375623"/>
      <name val="Calibri"/>
      <family val="2"/>
    </font>
    <font>
      <b/>
      <sz val="16"/>
      <color rgb="FFED7D31"/>
      <name val="Calibri"/>
      <family val="2"/>
    </font>
    <font>
      <b/>
      <sz val="16"/>
      <color rgb="FF7030A0"/>
      <name val="Calibri"/>
      <family val="2"/>
    </font>
    <font>
      <sz val="10"/>
      <color rgb="FF000000"/>
      <name val="Calibri"/>
      <family val="2"/>
    </font>
    <font>
      <b/>
      <sz val="12"/>
      <color rgb="FFFFFFFF"/>
      <name val="Calibri"/>
      <family val="2"/>
    </font>
    <font>
      <sz val="10"/>
      <color theme="1"/>
      <name val="Calibri"/>
      <family val="2"/>
      <charset val="1"/>
    </font>
    <font>
      <sz val="11"/>
      <color rgb="FF000000"/>
      <name val="Calibri"/>
      <family val="2"/>
    </font>
    <font>
      <b/>
      <sz val="11"/>
      <color rgb="FF000000"/>
      <name val="Calibri"/>
      <family val="2"/>
    </font>
    <font>
      <b/>
      <sz val="14"/>
      <color rgb="FFFFFFFF"/>
      <name val="Calibri"/>
      <family val="2"/>
    </font>
    <font>
      <b/>
      <sz val="13"/>
      <color rgb="FFFFFFFF"/>
      <name val="Calibri"/>
      <family val="2"/>
    </font>
    <font>
      <sz val="11"/>
      <color rgb="FF375623"/>
      <name val="Calibri"/>
      <family val="2"/>
    </font>
    <font>
      <sz val="11"/>
      <color rgb="FFC00000"/>
      <name val="Calibri"/>
      <family val="2"/>
    </font>
    <font>
      <b/>
      <sz val="11"/>
      <color rgb="FF375623"/>
      <name val="Calibri"/>
      <family val="2"/>
    </font>
    <font>
      <b/>
      <sz val="11"/>
      <color rgb="FFC00000"/>
      <name val="Calibri"/>
      <family val="2"/>
    </font>
    <font>
      <sz val="11"/>
      <color theme="1"/>
      <name val="Calibri"/>
      <family val="2"/>
    </font>
    <font>
      <sz val="11"/>
      <color theme="0"/>
      <name val="Calibri"/>
      <family val="2"/>
    </font>
    <font>
      <sz val="10"/>
      <color rgb="FF595959"/>
      <name val="Calibri"/>
      <family val="2"/>
    </font>
    <font>
      <sz val="11"/>
      <color rgb="FF595959"/>
      <name val="Calibri"/>
      <family val="2"/>
    </font>
  </fonts>
  <fills count="25">
    <fill>
      <patternFill patternType="none"/>
    </fill>
    <fill>
      <patternFill patternType="gray125"/>
    </fill>
    <fill>
      <patternFill patternType="solid">
        <fgColor rgb="FFD9EAD3"/>
        <bgColor rgb="FFE2EFDA"/>
      </patternFill>
    </fill>
    <fill>
      <patternFill patternType="solid">
        <fgColor rgb="FFDDEBF7"/>
        <bgColor rgb="FFDAE3F3"/>
      </patternFill>
    </fill>
    <fill>
      <patternFill patternType="solid">
        <fgColor rgb="FFE5B8B7"/>
        <bgColor rgb="FFBFBFBF"/>
      </patternFill>
    </fill>
    <fill>
      <patternFill patternType="solid">
        <fgColor rgb="FFFCE4D6"/>
        <bgColor rgb="FFF4E6FF"/>
      </patternFill>
    </fill>
    <fill>
      <patternFill patternType="solid">
        <fgColor rgb="FF2E75B6"/>
        <bgColor rgb="FF4472C4"/>
      </patternFill>
    </fill>
    <fill>
      <patternFill patternType="solid">
        <fgColor rgb="FF375623"/>
        <bgColor rgb="FF595959"/>
      </patternFill>
    </fill>
    <fill>
      <patternFill patternType="solid">
        <fgColor rgb="FFED7D31"/>
        <bgColor rgb="FFF79646"/>
      </patternFill>
    </fill>
    <fill>
      <patternFill patternType="solid">
        <fgColor rgb="FF7030A0"/>
        <bgColor rgb="FF800080"/>
      </patternFill>
    </fill>
    <fill>
      <patternFill patternType="solid">
        <fgColor rgb="FFD6E4F7"/>
        <bgColor rgb="FFDAE3F3"/>
      </patternFill>
    </fill>
    <fill>
      <patternFill patternType="solid">
        <fgColor rgb="FFE2EFDA"/>
        <bgColor rgb="FFD9EAD3"/>
      </patternFill>
    </fill>
    <fill>
      <patternFill patternType="solid">
        <fgColor rgb="FFF2E7FF"/>
        <bgColor rgb="FFF4E6FF"/>
      </patternFill>
    </fill>
    <fill>
      <patternFill patternType="solid">
        <fgColor rgb="FF5B9BD5"/>
        <bgColor rgb="FF4BACC6"/>
      </patternFill>
    </fill>
    <fill>
      <patternFill patternType="solid">
        <fgColor rgb="FF70AD47"/>
        <bgColor rgb="FF9BBB59"/>
      </patternFill>
    </fill>
    <fill>
      <patternFill patternType="solid">
        <fgColor rgb="FFFFFFFF"/>
        <bgColor rgb="FFF9F9F9"/>
      </patternFill>
    </fill>
    <fill>
      <patternFill patternType="solid">
        <fgColor rgb="FFDAE3F3"/>
        <bgColor rgb="FFD6E4F7"/>
      </patternFill>
    </fill>
    <fill>
      <patternFill patternType="solid">
        <fgColor rgb="FF1F3864"/>
        <bgColor rgb="FF004586"/>
      </patternFill>
    </fill>
    <fill>
      <patternFill patternType="solid">
        <fgColor rgb="FFF9F9F9"/>
        <bgColor rgb="FFFFFFFF"/>
      </patternFill>
    </fill>
    <fill>
      <patternFill patternType="solid">
        <fgColor rgb="FFD6DCE4"/>
        <bgColor rgb="FFD9D9D9"/>
      </patternFill>
    </fill>
    <fill>
      <patternFill patternType="solid">
        <fgColor rgb="FFF2F2F2"/>
        <bgColor rgb="FFF9F9F9"/>
      </patternFill>
    </fill>
    <fill>
      <patternFill patternType="solid">
        <fgColor rgb="FFF4E6FF"/>
        <bgColor rgb="FFF2E7FF"/>
      </patternFill>
    </fill>
    <fill>
      <patternFill patternType="solid">
        <fgColor rgb="FF2E74B5"/>
      </patternFill>
    </fill>
    <fill>
      <patternFill patternType="solid">
        <fgColor rgb="FFD6E4F0"/>
      </patternFill>
    </fill>
    <fill>
      <patternFill patternType="solid">
        <fgColor theme="4"/>
        <bgColor indexed="64"/>
      </patternFill>
    </fill>
  </fills>
  <borders count="7">
    <border>
      <left/>
      <right/>
      <top/>
      <bottom/>
      <diagonal/>
    </border>
    <border>
      <left style="thin">
        <color auto="1"/>
      </left>
      <right style="thin">
        <color auto="1"/>
      </right>
      <top style="thin">
        <color auto="1"/>
      </top>
      <bottom style="thin">
        <color auto="1"/>
      </bottom>
      <diagonal/>
    </border>
    <border>
      <left style="thin">
        <color rgb="FFBFBFBF"/>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right style="thin">
        <color auto="1"/>
      </right>
      <top style="thin">
        <color auto="1"/>
      </top>
      <bottom style="thin">
        <color auto="1"/>
      </bottom>
      <diagonal/>
    </border>
    <border>
      <left/>
      <right/>
      <top style="thin">
        <color rgb="FFBFBFBF"/>
      </top>
      <bottom style="thin">
        <color rgb="FFBFBFBF"/>
      </bottom>
      <diagonal/>
    </border>
    <border>
      <left style="thin">
        <color auto="1"/>
      </left>
      <right/>
      <top style="thin">
        <color auto="1"/>
      </top>
      <bottom style="thin">
        <color auto="1"/>
      </bottom>
      <diagonal/>
    </border>
  </borders>
  <cellStyleXfs count="7">
    <xf numFmtId="0" fontId="0" fillId="0" borderId="0"/>
    <xf numFmtId="0" fontId="24" fillId="0" borderId="0">
      <alignment horizontal="left"/>
    </xf>
    <xf numFmtId="0" fontId="24" fillId="0" borderId="0"/>
    <xf numFmtId="0" fontId="24" fillId="0" borderId="0"/>
    <xf numFmtId="0" fontId="1" fillId="0" borderId="0"/>
    <xf numFmtId="0" fontId="1" fillId="0" borderId="0">
      <alignment horizontal="left"/>
    </xf>
    <xf numFmtId="0" fontId="24" fillId="0" borderId="0"/>
  </cellStyleXfs>
  <cellXfs count="100">
    <xf numFmtId="0" fontId="0" fillId="0" borderId="0" xfId="0"/>
    <xf numFmtId="0" fontId="4" fillId="3" borderId="1" xfId="0" applyFont="1" applyFill="1" applyBorder="1"/>
    <xf numFmtId="0" fontId="0" fillId="3" borderId="1" xfId="0" applyFill="1" applyBorder="1"/>
    <xf numFmtId="0" fontId="4" fillId="0" borderId="0" xfId="0" applyFont="1"/>
    <xf numFmtId="0" fontId="6" fillId="0" borderId="0" xfId="0" applyFont="1"/>
    <xf numFmtId="0" fontId="8" fillId="13" borderId="2" xfId="0" applyFont="1" applyFill="1" applyBorder="1" applyAlignment="1">
      <alignment horizontal="center" vertical="center"/>
    </xf>
    <xf numFmtId="0" fontId="8" fillId="14" borderId="2" xfId="0" applyFont="1" applyFill="1" applyBorder="1" applyAlignment="1">
      <alignment horizontal="center" vertical="center"/>
    </xf>
    <xf numFmtId="0" fontId="13" fillId="15" borderId="2" xfId="0" applyFont="1" applyFill="1" applyBorder="1" applyAlignment="1">
      <alignment horizontal="center" vertical="center"/>
    </xf>
    <xf numFmtId="3" fontId="13" fillId="15" borderId="2" xfId="0" applyNumberFormat="1" applyFont="1" applyFill="1" applyBorder="1" applyAlignment="1">
      <alignment horizontal="center" vertical="center"/>
    </xf>
    <xf numFmtId="0" fontId="13" fillId="16" borderId="2" xfId="0" applyFont="1" applyFill="1" applyBorder="1" applyAlignment="1">
      <alignment horizontal="center" vertical="center"/>
    </xf>
    <xf numFmtId="3" fontId="13" fillId="16" borderId="2" xfId="0" applyNumberFormat="1" applyFont="1" applyFill="1" applyBorder="1" applyAlignment="1">
      <alignment horizontal="center" vertical="center"/>
    </xf>
    <xf numFmtId="0" fontId="13" fillId="11" borderId="2" xfId="0" applyFont="1" applyFill="1" applyBorder="1" applyAlignment="1">
      <alignment horizontal="center" vertical="center"/>
    </xf>
    <xf numFmtId="3" fontId="13" fillId="11" borderId="2" xfId="0" applyNumberFormat="1" applyFont="1" applyFill="1" applyBorder="1" applyAlignment="1">
      <alignment horizontal="center" vertical="center"/>
    </xf>
    <xf numFmtId="0" fontId="7" fillId="6" borderId="2" xfId="0" applyFont="1" applyFill="1" applyBorder="1" applyAlignment="1">
      <alignment horizontal="center" vertical="center"/>
    </xf>
    <xf numFmtId="164" fontId="16" fillId="20" borderId="2" xfId="0" applyNumberFormat="1" applyFont="1" applyFill="1" applyBorder="1" applyAlignment="1">
      <alignment horizontal="center" vertical="center"/>
    </xf>
    <xf numFmtId="0" fontId="16" fillId="20" borderId="2" xfId="0" applyFont="1" applyFill="1" applyBorder="1" applyAlignment="1">
      <alignment horizontal="center" vertical="center"/>
    </xf>
    <xf numFmtId="3" fontId="16" fillId="20" borderId="2" xfId="0" applyNumberFormat="1" applyFont="1" applyFill="1" applyBorder="1" applyAlignment="1">
      <alignment horizontal="center" vertical="center"/>
    </xf>
    <xf numFmtId="164" fontId="16" fillId="15" borderId="2" xfId="0" applyNumberFormat="1" applyFont="1" applyFill="1" applyBorder="1" applyAlignment="1">
      <alignment horizontal="center" vertical="center"/>
    </xf>
    <xf numFmtId="0" fontId="16" fillId="15" borderId="2" xfId="0" applyFont="1" applyFill="1" applyBorder="1" applyAlignment="1">
      <alignment horizontal="center" vertical="center"/>
    </xf>
    <xf numFmtId="3" fontId="16" fillId="15" borderId="2" xfId="0" applyNumberFormat="1" applyFont="1" applyFill="1" applyBorder="1" applyAlignment="1">
      <alignment horizontal="center" vertical="center"/>
    </xf>
    <xf numFmtId="165" fontId="0" fillId="0" borderId="0" xfId="0" applyNumberFormat="1"/>
    <xf numFmtId="0" fontId="17" fillId="0" borderId="0" xfId="0" applyFont="1"/>
    <xf numFmtId="4" fontId="16" fillId="15" borderId="2" xfId="0" applyNumberFormat="1" applyFont="1" applyFill="1" applyBorder="1" applyAlignment="1">
      <alignment horizontal="center" vertical="center"/>
    </xf>
    <xf numFmtId="0" fontId="16" fillId="16" borderId="2" xfId="0" applyFont="1" applyFill="1" applyBorder="1" applyAlignment="1">
      <alignment horizontal="center" vertical="center"/>
    </xf>
    <xf numFmtId="3" fontId="16" fillId="16" borderId="2" xfId="0" applyNumberFormat="1" applyFont="1" applyFill="1" applyBorder="1" applyAlignment="1">
      <alignment horizontal="center" vertical="center"/>
    </xf>
    <xf numFmtId="4" fontId="16" fillId="16" borderId="2" xfId="0" applyNumberFormat="1" applyFont="1" applyFill="1" applyBorder="1" applyAlignment="1">
      <alignment horizontal="center" vertical="center"/>
    </xf>
    <xf numFmtId="0" fontId="17" fillId="19" borderId="2" xfId="0" applyFont="1" applyFill="1" applyBorder="1" applyAlignment="1">
      <alignment horizontal="center" vertical="center"/>
    </xf>
    <xf numFmtId="3" fontId="17" fillId="19" borderId="2" xfId="0" applyNumberFormat="1" applyFont="1" applyFill="1" applyBorder="1" applyAlignment="1">
      <alignment horizontal="center" vertical="center"/>
    </xf>
    <xf numFmtId="0" fontId="7" fillId="14" borderId="2" xfId="0" applyFont="1" applyFill="1" applyBorder="1" applyAlignment="1">
      <alignment horizontal="center" vertical="center"/>
    </xf>
    <xf numFmtId="0" fontId="16" fillId="11" borderId="2" xfId="0" applyFont="1" applyFill="1" applyBorder="1" applyAlignment="1">
      <alignment horizontal="center" vertical="center"/>
    </xf>
    <xf numFmtId="3" fontId="16" fillId="11" borderId="2" xfId="0" applyNumberFormat="1" applyFont="1" applyFill="1" applyBorder="1" applyAlignment="1">
      <alignment horizontal="center" vertical="center"/>
    </xf>
    <xf numFmtId="4" fontId="16" fillId="11" borderId="2" xfId="0" applyNumberFormat="1" applyFont="1" applyFill="1" applyBorder="1" applyAlignment="1">
      <alignment horizontal="center" vertical="center"/>
    </xf>
    <xf numFmtId="4" fontId="17" fillId="19" borderId="2" xfId="0" applyNumberFormat="1" applyFont="1" applyFill="1" applyBorder="1" applyAlignment="1">
      <alignment horizontal="center" vertical="center"/>
    </xf>
    <xf numFmtId="0" fontId="7" fillId="9" borderId="2" xfId="0" applyFont="1" applyFill="1" applyBorder="1" applyAlignment="1">
      <alignment horizontal="center" vertical="center"/>
    </xf>
    <xf numFmtId="0" fontId="16" fillId="21" borderId="2" xfId="0" applyFont="1" applyFill="1" applyBorder="1" applyAlignment="1">
      <alignment horizontal="center" vertical="center"/>
    </xf>
    <xf numFmtId="3" fontId="16" fillId="21" borderId="2" xfId="0" applyNumberFormat="1" applyFont="1" applyFill="1" applyBorder="1" applyAlignment="1">
      <alignment horizontal="center" vertical="center"/>
    </xf>
    <xf numFmtId="0" fontId="7" fillId="8" borderId="2" xfId="0" applyFont="1" applyFill="1" applyBorder="1" applyAlignment="1">
      <alignment horizontal="center" vertical="center"/>
    </xf>
    <xf numFmtId="164" fontId="16" fillId="5" borderId="2" xfId="0" applyNumberFormat="1" applyFont="1" applyFill="1" applyBorder="1" applyAlignment="1">
      <alignment horizontal="center" vertical="center"/>
    </xf>
    <xf numFmtId="0" fontId="16" fillId="5" borderId="2" xfId="0" applyFont="1" applyFill="1" applyBorder="1" applyAlignment="1">
      <alignment horizontal="center" vertical="center"/>
    </xf>
    <xf numFmtId="3" fontId="16" fillId="5" borderId="2" xfId="0" applyNumberFormat="1" applyFont="1" applyFill="1" applyBorder="1" applyAlignment="1">
      <alignment horizontal="center" vertical="center"/>
    </xf>
    <xf numFmtId="0" fontId="20" fillId="5" borderId="2" xfId="0" applyFont="1" applyFill="1" applyBorder="1" applyAlignment="1">
      <alignment horizontal="center" vertical="center"/>
    </xf>
    <xf numFmtId="0" fontId="20" fillId="15" borderId="2" xfId="0" applyFont="1" applyFill="1" applyBorder="1" applyAlignment="1">
      <alignment horizontal="center" vertical="center"/>
    </xf>
    <xf numFmtId="0" fontId="21" fillId="5" borderId="2" xfId="0" applyFont="1" applyFill="1" applyBorder="1" applyAlignment="1">
      <alignment horizontal="center" vertical="center"/>
    </xf>
    <xf numFmtId="0" fontId="21" fillId="15" borderId="2" xfId="0" applyFont="1" applyFill="1" applyBorder="1" applyAlignment="1">
      <alignment horizontal="center" vertical="center"/>
    </xf>
    <xf numFmtId="0" fontId="17" fillId="19" borderId="2" xfId="0" applyFont="1" applyFill="1" applyBorder="1"/>
    <xf numFmtId="164" fontId="20" fillId="0" borderId="0" xfId="0" applyNumberFormat="1" applyFont="1"/>
    <xf numFmtId="0" fontId="22" fillId="0" borderId="0" xfId="0" applyFont="1"/>
    <xf numFmtId="164" fontId="21" fillId="0" borderId="0" xfId="0" applyNumberFormat="1" applyFont="1"/>
    <xf numFmtId="0" fontId="23" fillId="0" borderId="0" xfId="0" applyFont="1"/>
    <xf numFmtId="0" fontId="0" fillId="0" borderId="1" xfId="0" applyBorder="1"/>
    <xf numFmtId="0" fontId="3" fillId="3" borderId="1" xfId="0" applyFont="1" applyFill="1" applyBorder="1"/>
    <xf numFmtId="0" fontId="0" fillId="0" borderId="4" xfId="0" applyBorder="1"/>
    <xf numFmtId="0" fontId="2" fillId="2" borderId="0" xfId="0" applyFont="1" applyFill="1" applyAlignment="1">
      <alignment horizontal="center"/>
    </xf>
    <xf numFmtId="0" fontId="0" fillId="0" borderId="0" xfId="0"/>
    <xf numFmtId="0" fontId="8" fillId="9" borderId="0" xfId="0" applyFont="1" applyFill="1" applyAlignment="1">
      <alignment horizontal="center" vertical="center"/>
    </xf>
    <xf numFmtId="0" fontId="7" fillId="6" borderId="0" xfId="0" applyFont="1" applyFill="1" applyAlignment="1">
      <alignment horizontal="center" vertical="center"/>
    </xf>
    <xf numFmtId="0" fontId="8" fillId="6" borderId="0" xfId="0" applyFont="1" applyFill="1" applyAlignment="1">
      <alignment horizontal="center" vertical="center"/>
    </xf>
    <xf numFmtId="0" fontId="8" fillId="8" borderId="0" xfId="0" applyFont="1" applyFill="1" applyAlignment="1">
      <alignment horizontal="center" vertical="center"/>
    </xf>
    <xf numFmtId="0" fontId="14" fillId="17" borderId="0" xfId="0" applyFont="1" applyFill="1" applyAlignment="1">
      <alignment horizontal="center" vertical="center"/>
    </xf>
    <xf numFmtId="0" fontId="10" fillId="11" borderId="0" xfId="0" applyFont="1" applyFill="1" applyAlignment="1">
      <alignment horizontal="center" vertical="center"/>
    </xf>
    <xf numFmtId="0" fontId="7" fillId="7" borderId="0" xfId="0" applyFont="1" applyFill="1" applyAlignment="1">
      <alignment horizontal="center" vertical="center"/>
    </xf>
    <xf numFmtId="0" fontId="12" fillId="12" borderId="0" xfId="0" applyFont="1" applyFill="1" applyAlignment="1">
      <alignment horizontal="center" vertical="center"/>
    </xf>
    <xf numFmtId="0" fontId="8" fillId="7" borderId="0" xfId="0" applyFont="1" applyFill="1" applyAlignment="1">
      <alignment horizontal="center" vertical="center"/>
    </xf>
    <xf numFmtId="0" fontId="15" fillId="18" borderId="3" xfId="0" applyFont="1" applyFill="1" applyBorder="1" applyAlignment="1">
      <alignment horizontal="left" vertical="center" wrapText="1"/>
    </xf>
    <xf numFmtId="0" fontId="0" fillId="0" borderId="5" xfId="0" applyBorder="1"/>
    <xf numFmtId="0" fontId="9" fillId="10" borderId="0" xfId="0" applyFont="1" applyFill="1" applyAlignment="1">
      <alignment horizontal="center" vertical="center"/>
    </xf>
    <xf numFmtId="0" fontId="11" fillId="5" borderId="0" xfId="0" applyFont="1" applyFill="1" applyAlignment="1">
      <alignment horizontal="center" vertical="center"/>
    </xf>
    <xf numFmtId="0" fontId="6" fillId="12" borderId="0" xfId="0" applyFont="1" applyFill="1"/>
    <xf numFmtId="0" fontId="6" fillId="10" borderId="0" xfId="0" applyFont="1" applyFill="1"/>
    <xf numFmtId="0" fontId="6" fillId="5" borderId="0" xfId="0" applyFont="1" applyFill="1"/>
    <xf numFmtId="0" fontId="6" fillId="11" borderId="0" xfId="0" applyFont="1" applyFill="1"/>
    <xf numFmtId="0" fontId="5" fillId="4" borderId="0" xfId="0" applyFont="1" applyFill="1" applyAlignment="1">
      <alignment horizontal="center" vertical="center"/>
    </xf>
    <xf numFmtId="0" fontId="18" fillId="17" borderId="0" xfId="0" applyFont="1" applyFill="1" applyAlignment="1">
      <alignment horizontal="center" vertical="center"/>
    </xf>
    <xf numFmtId="0" fontId="19" fillId="7" borderId="0" xfId="0" applyFont="1" applyFill="1" applyAlignment="1">
      <alignment horizontal="center" vertical="center"/>
    </xf>
    <xf numFmtId="0" fontId="14" fillId="9" borderId="0" xfId="0" applyFont="1" applyFill="1" applyAlignment="1">
      <alignment horizontal="center" vertical="center"/>
    </xf>
    <xf numFmtId="0" fontId="18" fillId="6" borderId="0" xfId="0" applyFont="1" applyFill="1" applyAlignment="1">
      <alignment horizontal="center" vertical="center"/>
    </xf>
    <xf numFmtId="0" fontId="18" fillId="8" borderId="0" xfId="0" applyFont="1" applyFill="1" applyAlignment="1">
      <alignment horizontal="center" vertical="center"/>
    </xf>
    <xf numFmtId="0" fontId="19" fillId="22" borderId="0" xfId="0" applyFont="1" applyFill="1" applyAlignment="1">
      <alignment horizontal="left" vertical="center"/>
    </xf>
    <xf numFmtId="0" fontId="26" fillId="23" borderId="0" xfId="0" applyFont="1" applyFill="1"/>
    <xf numFmtId="0" fontId="24" fillId="0" borderId="0" xfId="0" applyFont="1"/>
    <xf numFmtId="0" fontId="24" fillId="0" borderId="0" xfId="0" applyFont="1"/>
    <xf numFmtId="0" fontId="17" fillId="19" borderId="1" xfId="0" applyFont="1" applyFill="1" applyBorder="1"/>
    <xf numFmtId="0" fontId="16" fillId="19" borderId="1" xfId="0" applyFont="1" applyFill="1" applyBorder="1"/>
    <xf numFmtId="0" fontId="16" fillId="0" borderId="1" xfId="0" applyFont="1" applyBorder="1" applyAlignment="1">
      <alignment horizontal="left"/>
    </xf>
    <xf numFmtId="4" fontId="16" fillId="0" borderId="1" xfId="0" applyNumberFormat="1" applyFont="1" applyBorder="1" applyAlignment="1">
      <alignment horizontal="right"/>
    </xf>
    <xf numFmtId="0" fontId="17" fillId="0" borderId="1" xfId="0" applyFont="1" applyBorder="1" applyAlignment="1">
      <alignment horizontal="left"/>
    </xf>
    <xf numFmtId="167" fontId="17" fillId="0" borderId="1" xfId="0" applyNumberFormat="1" applyFont="1" applyBorder="1" applyAlignment="1">
      <alignment horizontal="right"/>
    </xf>
    <xf numFmtId="0" fontId="16" fillId="0" borderId="1" xfId="0" applyFont="1" applyBorder="1" applyAlignment="1">
      <alignment horizontal="right"/>
    </xf>
    <xf numFmtId="0" fontId="17" fillId="0" borderId="1" xfId="0" applyFont="1" applyBorder="1" applyAlignment="1">
      <alignment horizontal="right"/>
    </xf>
    <xf numFmtId="0" fontId="17" fillId="0" borderId="1" xfId="0" applyFont="1" applyBorder="1"/>
    <xf numFmtId="0" fontId="17" fillId="19" borderId="1" xfId="0" applyFont="1" applyFill="1" applyBorder="1" applyAlignment="1">
      <alignment horizontal="left"/>
    </xf>
    <xf numFmtId="0" fontId="16" fillId="19" borderId="1" xfId="0" applyFont="1" applyFill="1" applyBorder="1" applyAlignment="1">
      <alignment horizontal="left"/>
    </xf>
    <xf numFmtId="166" fontId="16" fillId="0" borderId="1" xfId="0" applyNumberFormat="1" applyFont="1" applyBorder="1" applyAlignment="1">
      <alignment horizontal="left"/>
    </xf>
    <xf numFmtId="0" fontId="3" fillId="3" borderId="6" xfId="0" applyFont="1" applyFill="1" applyBorder="1"/>
    <xf numFmtId="0" fontId="3" fillId="3" borderId="4" xfId="0" applyFont="1" applyFill="1" applyBorder="1"/>
    <xf numFmtId="0" fontId="27" fillId="5" borderId="0" xfId="0" applyFont="1" applyFill="1" applyAlignment="1">
      <alignment horizontal="center" vertical="center"/>
    </xf>
    <xf numFmtId="0" fontId="25" fillId="24" borderId="1" xfId="0" applyFont="1" applyFill="1" applyBorder="1"/>
    <xf numFmtId="0" fontId="0" fillId="0" borderId="1" xfId="0" pivotButton="1" applyBorder="1"/>
    <xf numFmtId="166" fontId="0" fillId="0" borderId="1" xfId="0" applyNumberFormat="1" applyBorder="1"/>
    <xf numFmtId="14" fontId="0" fillId="0" borderId="1" xfId="0" applyNumberFormat="1" applyBorder="1"/>
  </cellXfs>
  <cellStyles count="7">
    <cellStyle name="Normal" xfId="0" builtinId="0"/>
    <cellStyle name="Pivot Table Category" xfId="1" xr:uid="{00000000-0005-0000-0000-000006000000}"/>
    <cellStyle name="Pivot Table Corner" xfId="2" xr:uid="{00000000-0005-0000-0000-000007000000}"/>
    <cellStyle name="Pivot Table Field" xfId="3" xr:uid="{00000000-0005-0000-0000-000008000000}"/>
    <cellStyle name="Pivot Table Result" xfId="4" xr:uid="{00000000-0005-0000-0000-000009000000}"/>
    <cellStyle name="Pivot Table Title" xfId="5" xr:uid="{00000000-0005-0000-0000-00000A000000}"/>
    <cellStyle name="Pivot Table Value" xfId="6" xr:uid="{00000000-0005-0000-0000-00000B000000}"/>
  </cellStyles>
  <dxfs count="20">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colors>
    <indexedColors>
      <rgbColor rgb="FF000000"/>
      <rgbColor rgb="FFFFFFFF"/>
      <rgbColor rgb="FFC00000"/>
      <rgbColor rgb="FF00FF00"/>
      <rgbColor rgb="FF0000FF"/>
      <rgbColor rgb="FFF2F2F2"/>
      <rgbColor rgb="FFFF00FF"/>
      <rgbColor rgb="FFF2E7FF"/>
      <rgbColor rgb="FF800000"/>
      <rgbColor rgb="FF008000"/>
      <rgbColor rgb="FF000080"/>
      <rgbColor rgb="FF70AD47"/>
      <rgbColor rgb="FF800080"/>
      <rgbColor rgb="FF5B9BD5"/>
      <rgbColor rgb="FFBFBFBF"/>
      <rgbColor rgb="FF757575"/>
      <rgbColor rgb="FF84A7D1"/>
      <rgbColor rgb="FF7030A0"/>
      <rgbColor rgb="FFF9F9F9"/>
      <rgbColor rgb="FFDDEBF7"/>
      <rgbColor rgb="FF660066"/>
      <rgbColor rgb="FFD38582"/>
      <rgbColor rgb="FF2E75B6"/>
      <rgbColor rgb="FFD6DCE4"/>
      <rgbColor rgb="FF000080"/>
      <rgbColor rgb="FFFF00FF"/>
      <rgbColor rgb="FFDAE3F3"/>
      <rgbColor rgb="FFF4E6FF"/>
      <rgbColor rgb="FF800080"/>
      <rgbColor rgb="FF800000"/>
      <rgbColor rgb="FF008080"/>
      <rgbColor rgb="FF0000FF"/>
      <rgbColor rgb="FFD6E4F7"/>
      <rgbColor rgb="FFE2EFDA"/>
      <rgbColor rgb="FFD9EAD3"/>
      <rgbColor rgb="FFFCE4D6"/>
      <rgbColor rgb="FFB7B7B7"/>
      <rgbColor rgb="FFD9D9D9"/>
      <rgbColor rgb="FFB3B3B3"/>
      <rgbColor rgb="FFE5B8B7"/>
      <rgbColor rgb="FF4472C4"/>
      <rgbColor rgb="FF4BACC6"/>
      <rgbColor rgb="FF9BBB59"/>
      <rgbColor rgb="FFB9CF8B"/>
      <rgbColor rgb="FFF79646"/>
      <rgbColor rgb="FFED7D31"/>
      <rgbColor rgb="FF8064A2"/>
      <rgbColor rgb="FF8B8B8B"/>
      <rgbColor rgb="FF004586"/>
      <rgbColor rgb="FF4F81BD"/>
      <rgbColor rgb="FF375623"/>
      <rgbColor rgb="FF1A1A1A"/>
      <rgbColor rgb="FF993300"/>
      <rgbColor rgb="FFC0504D"/>
      <rgbColor rgb="FF595959"/>
      <rgbColor rgb="FF1F3864"/>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4.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a:lstStyle/>
          <a:p>
            <a:pPr>
              <a:defRPr lang="en-IN" sz="1400" b="0" strike="noStrike" spc="-1">
                <a:solidFill>
                  <a:srgbClr val="757575"/>
                </a:solidFill>
                <a:latin typeface="Calibri"/>
                <a:ea typeface="Calibri"/>
              </a:defRPr>
            </a:pPr>
            <a:r>
              <a:rPr lang="en-IN" sz="1400" b="0" strike="noStrike" spc="-1">
                <a:solidFill>
                  <a:srgbClr val="757575"/>
                </a:solidFill>
                <a:latin typeface="Calibri"/>
                <a:ea typeface="Calibri"/>
              </a:rPr>
              <a:t>Product Vs Average Revenue</a:t>
            </a:r>
          </a:p>
        </c:rich>
      </c:tx>
      <c:overlay val="0"/>
      <c:spPr>
        <a:noFill/>
        <a:ln w="0">
          <a:noFill/>
          <a:prstDash val="solid"/>
        </a:ln>
      </c:spPr>
    </c:title>
    <c:autoTitleDeleted val="0"/>
    <c:plotArea>
      <c:layout/>
      <c:barChart>
        <c:barDir val="col"/>
        <c:grouping val="clustered"/>
        <c:varyColors val="0"/>
        <c:ser>
          <c:idx val="0"/>
          <c:order val="0"/>
          <c:tx>
            <c:v>Total</c:v>
          </c:tx>
          <c:spPr>
            <a:solidFill>
              <a:srgbClr val="4F81BD"/>
            </a:solidFill>
            <a:ln w="0">
              <a:solidFill>
                <a:srgbClr val="000000"/>
              </a:solidFill>
              <a:prstDash val="solid"/>
            </a:ln>
          </c:spPr>
          <c:invertIfNegative val="0"/>
          <c:dLbls>
            <c:spPr>
              <a:noFill/>
              <a:ln>
                <a:noFill/>
              </a:ln>
              <a:effectLst/>
            </c:spPr>
            <c:txPr>
              <a:bodyPr wrap="square"/>
              <a:lstStyle/>
              <a:p>
                <a:pPr>
                  <a:defRPr sz="1000" b="0" strike="noStrike" spc="-1">
                    <a:solidFill>
                      <a:srgbClr val="000000"/>
                    </a:solidFill>
                    <a:latin typeface="Arial"/>
                    <a:ea typeface="Calibri"/>
                  </a:defRPr>
                </a:pPr>
                <a:endParaRPr lang="en-US"/>
              </a:p>
            </c:tx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'product ID Vs Revenue'!$B$4:$B$8</c:f>
              <c:strCache>
                <c:ptCount val="5"/>
                <c:pt idx="0">
                  <c:v>P101</c:v>
                </c:pt>
                <c:pt idx="1">
                  <c:v>P102</c:v>
                </c:pt>
                <c:pt idx="2">
                  <c:v>P104</c:v>
                </c:pt>
                <c:pt idx="3">
                  <c:v>P105</c:v>
                </c:pt>
                <c:pt idx="4">
                  <c:v>Grand Total</c:v>
                </c:pt>
              </c:strCache>
            </c:strRef>
          </c:cat>
          <c:val>
            <c:numRef>
              <c:f>'product ID Vs Revenue'!$C$4:$C$8</c:f>
              <c:numCache>
                <c:formatCode>#,##0.00</c:formatCode>
                <c:ptCount val="5"/>
                <c:pt idx="0">
                  <c:v>2200</c:v>
                </c:pt>
                <c:pt idx="1">
                  <c:v>537</c:v>
                </c:pt>
                <c:pt idx="2">
                  <c:v>635</c:v>
                </c:pt>
                <c:pt idx="3">
                  <c:v>1180</c:v>
                </c:pt>
                <c:pt idx="4" formatCode="#,##0.000000000">
                  <c:v>1163.409090909</c:v>
                </c:pt>
              </c:numCache>
            </c:numRef>
          </c:val>
          <c:extLst>
            <c:ext xmlns:c16="http://schemas.microsoft.com/office/drawing/2014/chart" uri="{C3380CC4-5D6E-409C-BE32-E72D297353CC}">
              <c16:uniqueId val="{00000000-8A14-4503-BC4F-96697019ECD3}"/>
            </c:ext>
          </c:extLst>
        </c:ser>
        <c:dLbls>
          <c:showLegendKey val="0"/>
          <c:showVal val="0"/>
          <c:showCatName val="0"/>
          <c:showSerName val="0"/>
          <c:showPercent val="0"/>
          <c:showBubbleSize val="0"/>
        </c:dLbls>
        <c:gapWidth val="150"/>
        <c:axId val="18452081"/>
        <c:axId val="55371627"/>
      </c:barChart>
      <c:catAx>
        <c:axId val="18452081"/>
        <c:scaling>
          <c:orientation val="minMax"/>
        </c:scaling>
        <c:delete val="0"/>
        <c:axPos val="b"/>
        <c:title>
          <c:tx>
            <c:rich>
              <a:bodyPr rot="0"/>
              <a:lstStyle/>
              <a:p>
                <a:pPr>
                  <a:defRPr lang="en-IN" sz="1000" b="0" strike="noStrike" spc="-1">
                    <a:solidFill>
                      <a:srgbClr val="000000"/>
                    </a:solidFill>
                    <a:latin typeface="Calibri"/>
                    <a:ea typeface="Calibri"/>
                  </a:defRPr>
                </a:pPr>
                <a:r>
                  <a:rPr lang="en-IN" sz="1000" b="0" strike="noStrike" spc="-1">
                    <a:solidFill>
                      <a:srgbClr val="000000"/>
                    </a:solidFill>
                    <a:latin typeface="Calibri"/>
                    <a:ea typeface="Calibri"/>
                  </a:rPr>
                  <a:t>None</a:t>
                </a:r>
              </a:p>
            </c:rich>
          </c:tx>
          <c:overlay val="0"/>
          <c:spPr>
            <a:noFill/>
            <a:ln w="0">
              <a:noFill/>
              <a:prstDash val="solid"/>
            </a:ln>
          </c:spPr>
        </c:title>
        <c:numFmt formatCode="General" sourceLinked="0"/>
        <c:majorTickMark val="none"/>
        <c:minorTickMark val="none"/>
        <c:tickLblPos val="nextTo"/>
        <c:spPr>
          <a:ln w="6480">
            <a:solidFill>
              <a:srgbClr val="8B8B8B"/>
            </a:solidFill>
            <a:prstDash val="solid"/>
            <a:round/>
          </a:ln>
        </c:spPr>
        <c:txPr>
          <a:bodyPr/>
          <a:lstStyle/>
          <a:p>
            <a:pPr>
              <a:defRPr sz="900" b="0" strike="noStrike" spc="-1">
                <a:solidFill>
                  <a:srgbClr val="000000"/>
                </a:solidFill>
                <a:latin typeface="Calibri"/>
                <a:ea typeface="Calibri"/>
              </a:defRPr>
            </a:pPr>
            <a:endParaRPr lang="en-US"/>
          </a:p>
        </c:txPr>
        <c:crossAx val="55371627"/>
        <c:crosses val="autoZero"/>
        <c:auto val="1"/>
        <c:lblAlgn val="ctr"/>
        <c:lblOffset val="100"/>
        <c:noMultiLvlLbl val="0"/>
      </c:catAx>
      <c:valAx>
        <c:axId val="55371627"/>
        <c:scaling>
          <c:orientation val="minMax"/>
        </c:scaling>
        <c:delete val="0"/>
        <c:axPos val="l"/>
        <c:majorGridlines>
          <c:spPr>
            <a:ln w="6480">
              <a:solidFill>
                <a:srgbClr val="B7B7B7"/>
              </a:solidFill>
              <a:prstDash val="solid"/>
              <a:round/>
            </a:ln>
          </c:spPr>
        </c:majorGridlines>
        <c:title>
          <c:tx>
            <c:rich>
              <a:bodyPr rot="-5400000"/>
              <a:lstStyle/>
              <a:p>
                <a:pPr>
                  <a:defRPr lang="en-IN" sz="1000" b="0" strike="noStrike" spc="-1">
                    <a:solidFill>
                      <a:srgbClr val="000000"/>
                    </a:solidFill>
                    <a:latin typeface="Calibri"/>
                    <a:ea typeface="Calibri"/>
                  </a:defRPr>
                </a:pPr>
                <a:r>
                  <a:rPr lang="en-IN" sz="1000" b="0" strike="noStrike" spc="-1">
                    <a:solidFill>
                      <a:srgbClr val="000000"/>
                    </a:solidFill>
                    <a:latin typeface="Calibri"/>
                    <a:ea typeface="Calibri"/>
                  </a:rPr>
                  <a:t>None</a:t>
                </a:r>
              </a:p>
            </c:rich>
          </c:tx>
          <c:overlay val="0"/>
          <c:spPr>
            <a:noFill/>
            <a:ln w="0">
              <a:noFill/>
              <a:prstDash val="solid"/>
            </a:ln>
          </c:spPr>
        </c:title>
        <c:numFmt formatCode="General" sourceLinked="0"/>
        <c:majorTickMark val="none"/>
        <c:minorTickMark val="none"/>
        <c:tickLblPos val="nextTo"/>
        <c:spPr>
          <a:ln w="6480">
            <a:solidFill>
              <a:srgbClr val="8B8B8B"/>
            </a:solidFill>
            <a:prstDash val="solid"/>
            <a:round/>
          </a:ln>
        </c:spPr>
        <c:txPr>
          <a:bodyPr/>
          <a:lstStyle/>
          <a:p>
            <a:pPr>
              <a:defRPr sz="900" b="0" strike="noStrike" spc="-1">
                <a:solidFill>
                  <a:srgbClr val="000000"/>
                </a:solidFill>
                <a:latin typeface="Calibri"/>
                <a:ea typeface="Calibri"/>
              </a:defRPr>
            </a:pPr>
            <a:endParaRPr lang="en-US"/>
          </a:p>
        </c:txPr>
        <c:crossAx val="18452081"/>
        <c:crosses val="autoZero"/>
        <c:crossBetween val="between"/>
      </c:valAx>
    </c:plotArea>
    <c:legend>
      <c:legendPos val="r"/>
      <c:overlay val="0"/>
      <c:spPr>
        <a:noFill/>
        <a:ln w="0">
          <a:noFill/>
          <a:prstDash val="solid"/>
        </a:ln>
      </c:spPr>
      <c:txPr>
        <a:bodyPr/>
        <a:lstStyle/>
        <a:p>
          <a:pPr>
            <a:defRPr sz="900" b="0" strike="noStrike" spc="-1">
              <a:solidFill>
                <a:srgbClr val="1A1A1A"/>
              </a:solidFill>
              <a:latin typeface="Calibri"/>
              <a:ea typeface="Calibri"/>
            </a:defRPr>
          </a:pPr>
          <a:endParaRPr lang="en-US"/>
        </a:p>
      </c:txPr>
    </c:legend>
    <c:plotVisOnly val="1"/>
    <c:dispBlanksAs val="gap"/>
    <c:showDLblsOverMax val="1"/>
  </c:chart>
  <c:spPr>
    <a:solidFill>
      <a:srgbClr val="FFFFFF"/>
    </a:solidFill>
    <a:ln w="9360">
      <a:solidFill>
        <a:srgbClr val="D9D9D9"/>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pieChart>
        <c:varyColors val="1"/>
        <c:ser>
          <c:idx val="0"/>
          <c:order val="0"/>
          <c:tx>
            <c:strRef>
              <c:f>'product ID Vs Revenue'!$C$3</c:f>
              <c:strCache>
                <c:ptCount val="1"/>
                <c:pt idx="0">
                  <c:v>Average of revenue</c:v>
                </c:pt>
              </c:strCache>
            </c:strRef>
          </c:tx>
          <c:spPr>
            <a:solidFill>
              <a:srgbClr val="4F81BD"/>
            </a:solidFill>
            <a:ln w="0">
              <a:noFill/>
              <a:prstDash val="solid"/>
            </a:ln>
          </c:spPr>
          <c:dPt>
            <c:idx val="0"/>
            <c:bubble3D val="0"/>
            <c:spPr>
              <a:solidFill>
                <a:srgbClr val="4F81BD"/>
              </a:solidFill>
              <a:ln w="0">
                <a:noFill/>
                <a:prstDash val="solid"/>
              </a:ln>
            </c:spPr>
            <c:extLst>
              <c:ext xmlns:c16="http://schemas.microsoft.com/office/drawing/2014/chart" uri="{C3380CC4-5D6E-409C-BE32-E72D297353CC}">
                <c16:uniqueId val="{00000001-F110-48D0-9CAF-F705E77A15FB}"/>
              </c:ext>
            </c:extLst>
          </c:dPt>
          <c:dPt>
            <c:idx val="1"/>
            <c:bubble3D val="0"/>
            <c:spPr>
              <a:solidFill>
                <a:srgbClr val="C0504D"/>
              </a:solidFill>
              <a:ln w="0">
                <a:noFill/>
                <a:prstDash val="solid"/>
              </a:ln>
            </c:spPr>
            <c:extLst>
              <c:ext xmlns:c16="http://schemas.microsoft.com/office/drawing/2014/chart" uri="{C3380CC4-5D6E-409C-BE32-E72D297353CC}">
                <c16:uniqueId val="{00000003-F110-48D0-9CAF-F705E77A15FB}"/>
              </c:ext>
            </c:extLst>
          </c:dPt>
          <c:dPt>
            <c:idx val="2"/>
            <c:bubble3D val="0"/>
            <c:spPr>
              <a:solidFill>
                <a:srgbClr val="9BBB59"/>
              </a:solidFill>
              <a:ln w="0">
                <a:noFill/>
                <a:prstDash val="solid"/>
              </a:ln>
            </c:spPr>
            <c:extLst>
              <c:ext xmlns:c16="http://schemas.microsoft.com/office/drawing/2014/chart" uri="{C3380CC4-5D6E-409C-BE32-E72D297353CC}">
                <c16:uniqueId val="{00000005-F110-48D0-9CAF-F705E77A15FB}"/>
              </c:ext>
            </c:extLst>
          </c:dPt>
          <c:dPt>
            <c:idx val="3"/>
            <c:bubble3D val="0"/>
            <c:spPr>
              <a:solidFill>
                <a:srgbClr val="8064A2"/>
              </a:solidFill>
              <a:ln w="0">
                <a:noFill/>
                <a:prstDash val="solid"/>
              </a:ln>
            </c:spPr>
            <c:extLst>
              <c:ext xmlns:c16="http://schemas.microsoft.com/office/drawing/2014/chart" uri="{C3380CC4-5D6E-409C-BE32-E72D297353CC}">
                <c16:uniqueId val="{00000007-F110-48D0-9CAF-F705E77A15FB}"/>
              </c:ext>
            </c:extLst>
          </c:dPt>
          <c:dPt>
            <c:idx val="4"/>
            <c:bubble3D val="0"/>
            <c:spPr>
              <a:solidFill>
                <a:srgbClr val="4BACC6"/>
              </a:solidFill>
              <a:ln w="0">
                <a:noFill/>
                <a:prstDash val="solid"/>
              </a:ln>
            </c:spPr>
            <c:extLst>
              <c:ext xmlns:c16="http://schemas.microsoft.com/office/drawing/2014/chart" uri="{C3380CC4-5D6E-409C-BE32-E72D297353CC}">
                <c16:uniqueId val="{00000009-F110-48D0-9CAF-F705E77A15FB}"/>
              </c:ext>
            </c:extLst>
          </c:dPt>
          <c:dLbls>
            <c:dLbl>
              <c:idx val="0"/>
              <c:spPr/>
              <c:txPr>
                <a:bodyPr wrap="square"/>
                <a:lstStyle/>
                <a:p>
                  <a:pPr>
                    <a:defRPr sz="1000" b="0" strike="noStrike" spc="-1">
                      <a:solidFill>
                        <a:srgbClr val="000000"/>
                      </a:solidFill>
                      <a:latin typeface="Calibri"/>
                      <a:ea typeface="Calibri"/>
                    </a:defRPr>
                  </a:pPr>
                  <a:endParaRPr lang="en-US"/>
                </a:p>
              </c:txPr>
              <c:dLblPos val="bestFit"/>
              <c:showLegendKey val="0"/>
              <c:showVal val="0"/>
              <c:showCatName val="0"/>
              <c:showSerName val="0"/>
              <c:showPercent val="0"/>
              <c:showBubbleSize val="1"/>
              <c:extLst>
                <c:ext xmlns:c16="http://schemas.microsoft.com/office/drawing/2014/chart" uri="{C3380CC4-5D6E-409C-BE32-E72D297353CC}">
                  <c16:uniqueId val="{00000001-F110-48D0-9CAF-F705E77A15FB}"/>
                </c:ext>
              </c:extLst>
            </c:dLbl>
            <c:dLbl>
              <c:idx val="1"/>
              <c:spPr/>
              <c:txPr>
                <a:bodyPr wrap="square"/>
                <a:lstStyle/>
                <a:p>
                  <a:pPr>
                    <a:defRPr sz="1000" b="0" strike="noStrike" spc="-1">
                      <a:solidFill>
                        <a:srgbClr val="000000"/>
                      </a:solidFill>
                      <a:latin typeface="Calibri"/>
                      <a:ea typeface="Calibri"/>
                    </a:defRPr>
                  </a:pPr>
                  <a:endParaRPr lang="en-US"/>
                </a:p>
              </c:txPr>
              <c:dLblPos val="bestFit"/>
              <c:showLegendKey val="0"/>
              <c:showVal val="0"/>
              <c:showCatName val="0"/>
              <c:showSerName val="0"/>
              <c:showPercent val="0"/>
              <c:showBubbleSize val="1"/>
              <c:extLst>
                <c:ext xmlns:c16="http://schemas.microsoft.com/office/drawing/2014/chart" uri="{C3380CC4-5D6E-409C-BE32-E72D297353CC}">
                  <c16:uniqueId val="{00000003-F110-48D0-9CAF-F705E77A15FB}"/>
                </c:ext>
              </c:extLst>
            </c:dLbl>
            <c:dLbl>
              <c:idx val="2"/>
              <c:spPr/>
              <c:txPr>
                <a:bodyPr wrap="square"/>
                <a:lstStyle/>
                <a:p>
                  <a:pPr>
                    <a:defRPr sz="1000" b="0" strike="noStrike" spc="-1">
                      <a:solidFill>
                        <a:srgbClr val="000000"/>
                      </a:solidFill>
                      <a:latin typeface="Calibri"/>
                      <a:ea typeface="Calibri"/>
                    </a:defRPr>
                  </a:pPr>
                  <a:endParaRPr lang="en-US"/>
                </a:p>
              </c:txPr>
              <c:dLblPos val="bestFit"/>
              <c:showLegendKey val="0"/>
              <c:showVal val="0"/>
              <c:showCatName val="0"/>
              <c:showSerName val="0"/>
              <c:showPercent val="0"/>
              <c:showBubbleSize val="1"/>
              <c:extLst>
                <c:ext xmlns:c16="http://schemas.microsoft.com/office/drawing/2014/chart" uri="{C3380CC4-5D6E-409C-BE32-E72D297353CC}">
                  <c16:uniqueId val="{00000005-F110-48D0-9CAF-F705E77A15FB}"/>
                </c:ext>
              </c:extLst>
            </c:dLbl>
            <c:dLbl>
              <c:idx val="3"/>
              <c:spPr/>
              <c:txPr>
                <a:bodyPr wrap="square"/>
                <a:lstStyle/>
                <a:p>
                  <a:pPr>
                    <a:defRPr sz="1000" b="0" strike="noStrike" spc="-1">
                      <a:solidFill>
                        <a:srgbClr val="000000"/>
                      </a:solidFill>
                      <a:latin typeface="Calibri"/>
                      <a:ea typeface="Calibri"/>
                    </a:defRPr>
                  </a:pPr>
                  <a:endParaRPr lang="en-US"/>
                </a:p>
              </c:txPr>
              <c:dLblPos val="bestFit"/>
              <c:showLegendKey val="0"/>
              <c:showVal val="0"/>
              <c:showCatName val="0"/>
              <c:showSerName val="0"/>
              <c:showPercent val="0"/>
              <c:showBubbleSize val="1"/>
              <c:extLst>
                <c:ext xmlns:c16="http://schemas.microsoft.com/office/drawing/2014/chart" uri="{C3380CC4-5D6E-409C-BE32-E72D297353CC}">
                  <c16:uniqueId val="{00000007-F110-48D0-9CAF-F705E77A15FB}"/>
                </c:ext>
              </c:extLst>
            </c:dLbl>
            <c:dLbl>
              <c:idx val="4"/>
              <c:spPr/>
              <c:txPr>
                <a:bodyPr wrap="square"/>
                <a:lstStyle/>
                <a:p>
                  <a:pPr>
                    <a:defRPr sz="1000" b="0" strike="noStrike" spc="-1">
                      <a:solidFill>
                        <a:srgbClr val="000000"/>
                      </a:solidFill>
                      <a:latin typeface="Calibri"/>
                      <a:ea typeface="Calibri"/>
                    </a:defRPr>
                  </a:pPr>
                  <a:endParaRPr lang="en-US"/>
                </a:p>
              </c:txPr>
              <c:dLblPos val="bestFit"/>
              <c:showLegendKey val="0"/>
              <c:showVal val="0"/>
              <c:showCatName val="0"/>
              <c:showSerName val="0"/>
              <c:showPercent val="0"/>
              <c:showBubbleSize val="1"/>
              <c:extLst>
                <c:ext xmlns:c16="http://schemas.microsoft.com/office/drawing/2014/chart" uri="{C3380CC4-5D6E-409C-BE32-E72D297353CC}">
                  <c16:uniqueId val="{00000009-F110-48D0-9CAF-F705E77A15FB}"/>
                </c:ext>
              </c:extLst>
            </c:dLbl>
            <c:spPr>
              <a:noFill/>
              <a:ln>
                <a:noFill/>
              </a:ln>
              <a:effectLst/>
            </c:spPr>
            <c:txPr>
              <a:bodyPr wrap="square"/>
              <a:lstStyle/>
              <a:p>
                <a:pPr>
                  <a:defRPr sz="1000" b="0" strike="noStrike" spc="-1">
                    <a:solidFill>
                      <a:srgbClr val="000000"/>
                    </a:solidFill>
                    <a:latin typeface="Calibri"/>
                    <a:ea typeface="Calibri"/>
                  </a:defRPr>
                </a:pPr>
                <a:endParaRPr lang="en-US"/>
              </a:p>
            </c:txPr>
            <c:dLblPos val="bestFit"/>
            <c:showLegendKey val="0"/>
            <c:showVal val="0"/>
            <c:showCatName val="0"/>
            <c:showSerName val="0"/>
            <c:showPercent val="0"/>
            <c:showBubbleSize val="1"/>
            <c:showLeaderLines val="1"/>
            <c:extLst>
              <c:ext xmlns:c15="http://schemas.microsoft.com/office/drawing/2012/chart" uri="{CE6537A1-D6FC-4f65-9D91-7224C49458BB}"/>
            </c:extLst>
          </c:dLbls>
          <c:cat>
            <c:strRef>
              <c:f>'product ID Vs Revenue'!$B$4:$B$8</c:f>
              <c:strCache>
                <c:ptCount val="5"/>
                <c:pt idx="0">
                  <c:v>P101</c:v>
                </c:pt>
                <c:pt idx="1">
                  <c:v>P102</c:v>
                </c:pt>
                <c:pt idx="2">
                  <c:v>P104</c:v>
                </c:pt>
                <c:pt idx="3">
                  <c:v>P105</c:v>
                </c:pt>
                <c:pt idx="4">
                  <c:v>Grand Total</c:v>
                </c:pt>
              </c:strCache>
            </c:strRef>
          </c:cat>
          <c:val>
            <c:numRef>
              <c:f>'product ID Vs Revenue'!$C$4:$C$8</c:f>
              <c:numCache>
                <c:formatCode>#,##0.00</c:formatCode>
                <c:ptCount val="5"/>
                <c:pt idx="0">
                  <c:v>2200</c:v>
                </c:pt>
                <c:pt idx="1">
                  <c:v>537</c:v>
                </c:pt>
                <c:pt idx="2">
                  <c:v>635</c:v>
                </c:pt>
                <c:pt idx="3">
                  <c:v>1180</c:v>
                </c:pt>
                <c:pt idx="4" formatCode="#,##0.000000000">
                  <c:v>1163.409090909</c:v>
                </c:pt>
              </c:numCache>
            </c:numRef>
          </c:val>
          <c:extLst>
            <c:ext xmlns:c16="http://schemas.microsoft.com/office/drawing/2014/chart" uri="{C3380CC4-5D6E-409C-BE32-E72D297353CC}">
              <c16:uniqueId val="{0000000A-F110-48D0-9CAF-F705E77A15FB}"/>
            </c:ext>
          </c:extLst>
        </c:ser>
        <c:dLbls>
          <c:showLegendKey val="0"/>
          <c:showVal val="0"/>
          <c:showCatName val="0"/>
          <c:showSerName val="0"/>
          <c:showPercent val="0"/>
          <c:showBubbleSize val="0"/>
          <c:showLeaderLines val="1"/>
        </c:dLbls>
        <c:firstSliceAng val="0"/>
      </c:pieChart>
    </c:plotArea>
    <c:legend>
      <c:legendPos val="r"/>
      <c:overlay val="0"/>
      <c:spPr>
        <a:noFill/>
        <a:ln w="0">
          <a:noFill/>
          <a:prstDash val="solid"/>
        </a:ln>
      </c:spPr>
      <c:txPr>
        <a:bodyPr/>
        <a:lstStyle/>
        <a:p>
          <a:pPr>
            <a:defRPr sz="900" b="0" strike="noStrike" spc="-1">
              <a:solidFill>
                <a:srgbClr val="1A1A1A"/>
              </a:solidFill>
              <a:latin typeface="Calibri"/>
              <a:ea typeface="Calibri"/>
            </a:defRPr>
          </a:pPr>
          <a:endParaRPr lang="en-US"/>
        </a:p>
      </c:txPr>
    </c:legend>
    <c:plotVisOnly val="1"/>
    <c:dispBlanksAs val="gap"/>
    <c:showDLblsOverMax val="1"/>
  </c:chart>
  <c:spPr>
    <a:solidFill>
      <a:srgbClr val="FFFFFF"/>
    </a:solidFill>
    <a:ln w="9360">
      <a:solidFill>
        <a:srgbClr val="D9D9D9"/>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barChart>
        <c:barDir val="col"/>
        <c:grouping val="clustered"/>
        <c:varyColors val="0"/>
        <c:ser>
          <c:idx val="0"/>
          <c:order val="0"/>
          <c:tx>
            <c:v>Folder</c:v>
          </c:tx>
          <c:spPr>
            <a:solidFill>
              <a:srgbClr val="4F81BD"/>
            </a:solidFill>
            <a:ln w="0">
              <a:solidFill>
                <a:srgbClr val="000000"/>
              </a:solidFill>
              <a:prstDash val="solid"/>
            </a:ln>
          </c:spPr>
          <c:invertIfNegative val="0"/>
          <c:dLbls>
            <c:spPr>
              <a:noFill/>
              <a:ln>
                <a:noFill/>
              </a:ln>
              <a:effectLst/>
            </c:spPr>
            <c:txPr>
              <a:bodyPr wrap="square"/>
              <a:lstStyle/>
              <a:p>
                <a:pPr>
                  <a:defRPr sz="1000" b="0" strike="noStrike" spc="-1">
                    <a:solidFill>
                      <a:srgbClr val="000000"/>
                    </a:solidFill>
                    <a:latin typeface="Arial"/>
                    <a:ea typeface="Calibri"/>
                  </a:defRPr>
                </a:pPr>
                <a:endParaRPr lang="en-US"/>
              </a:p>
            </c:tx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'Product category Vs unit sold'!$B$5:$B$7</c:f>
              <c:strCache>
                <c:ptCount val="3"/>
                <c:pt idx="0">
                  <c:v>Office Supplies</c:v>
                </c:pt>
                <c:pt idx="1">
                  <c:v>Stationery</c:v>
                </c:pt>
                <c:pt idx="2">
                  <c:v>Grand Total</c:v>
                </c:pt>
              </c:strCache>
            </c:strRef>
          </c:cat>
          <c:val>
            <c:numRef>
              <c:f>'Product category Vs unit sold'!$C$5:$C$7</c:f>
              <c:numCache>
                <c:formatCode>General</c:formatCode>
                <c:ptCount val="3"/>
                <c:pt idx="0">
                  <c:v>5</c:v>
                </c:pt>
                <c:pt idx="2">
                  <c:v>5</c:v>
                </c:pt>
              </c:numCache>
            </c:numRef>
          </c:val>
          <c:extLst>
            <c:ext xmlns:c16="http://schemas.microsoft.com/office/drawing/2014/chart" uri="{C3380CC4-5D6E-409C-BE32-E72D297353CC}">
              <c16:uniqueId val="{00000000-3E7D-4EDA-A41C-2AEA3CDD1A3B}"/>
            </c:ext>
          </c:extLst>
        </c:ser>
        <c:ser>
          <c:idx val="1"/>
          <c:order val="1"/>
          <c:tx>
            <c:v>Marker</c:v>
          </c:tx>
          <c:spPr>
            <a:solidFill>
              <a:srgbClr val="C0504D"/>
            </a:solidFill>
            <a:ln w="0">
              <a:solidFill>
                <a:srgbClr val="000000"/>
              </a:solidFill>
              <a:prstDash val="solid"/>
            </a:ln>
          </c:spPr>
          <c:invertIfNegative val="0"/>
          <c:dLbls>
            <c:spPr>
              <a:noFill/>
              <a:ln>
                <a:noFill/>
              </a:ln>
              <a:effectLst/>
            </c:spPr>
            <c:txPr>
              <a:bodyPr wrap="square"/>
              <a:lstStyle/>
              <a:p>
                <a:pPr>
                  <a:defRPr sz="1000" b="0" strike="noStrike" spc="-1">
                    <a:solidFill>
                      <a:srgbClr val="000000"/>
                    </a:solidFill>
                    <a:latin typeface="Arial"/>
                    <a:ea typeface="Calibri"/>
                  </a:defRPr>
                </a:pPr>
                <a:endParaRPr lang="en-US"/>
              </a:p>
            </c:tx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'Product category Vs unit sold'!$B$5:$B$7</c:f>
              <c:strCache>
                <c:ptCount val="3"/>
                <c:pt idx="0">
                  <c:v>Office Supplies</c:v>
                </c:pt>
                <c:pt idx="1">
                  <c:v>Stationery</c:v>
                </c:pt>
                <c:pt idx="2">
                  <c:v>Grand Total</c:v>
                </c:pt>
              </c:strCache>
            </c:strRef>
          </c:cat>
          <c:val>
            <c:numRef>
              <c:f>'Product category Vs unit sold'!$D$5:$D$7</c:f>
              <c:numCache>
                <c:formatCode>General</c:formatCode>
                <c:ptCount val="3"/>
                <c:pt idx="1">
                  <c:v>6</c:v>
                </c:pt>
                <c:pt idx="2">
                  <c:v>6</c:v>
                </c:pt>
              </c:numCache>
            </c:numRef>
          </c:val>
          <c:extLst>
            <c:ext xmlns:c16="http://schemas.microsoft.com/office/drawing/2014/chart" uri="{C3380CC4-5D6E-409C-BE32-E72D297353CC}">
              <c16:uniqueId val="{00000001-3E7D-4EDA-A41C-2AEA3CDD1A3B}"/>
            </c:ext>
          </c:extLst>
        </c:ser>
        <c:ser>
          <c:idx val="2"/>
          <c:order val="2"/>
          <c:tx>
            <c:v>Notebook</c:v>
          </c:tx>
          <c:spPr>
            <a:solidFill>
              <a:srgbClr val="9BBB59"/>
            </a:solidFill>
            <a:ln w="0">
              <a:solidFill>
                <a:srgbClr val="000000"/>
              </a:solidFill>
              <a:prstDash val="solid"/>
            </a:ln>
          </c:spPr>
          <c:invertIfNegative val="0"/>
          <c:dLbls>
            <c:spPr>
              <a:noFill/>
              <a:ln>
                <a:noFill/>
              </a:ln>
              <a:effectLst/>
            </c:spPr>
            <c:txPr>
              <a:bodyPr wrap="square"/>
              <a:lstStyle/>
              <a:p>
                <a:pPr>
                  <a:defRPr sz="1000" b="0" strike="noStrike" spc="-1">
                    <a:solidFill>
                      <a:srgbClr val="000000"/>
                    </a:solidFill>
                    <a:latin typeface="Arial"/>
                    <a:ea typeface="Calibri"/>
                  </a:defRPr>
                </a:pPr>
                <a:endParaRPr lang="en-US"/>
              </a:p>
            </c:tx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'Product category Vs unit sold'!$B$5:$B$7</c:f>
              <c:strCache>
                <c:ptCount val="3"/>
                <c:pt idx="0">
                  <c:v>Office Supplies</c:v>
                </c:pt>
                <c:pt idx="1">
                  <c:v>Stationery</c:v>
                </c:pt>
                <c:pt idx="2">
                  <c:v>Grand Total</c:v>
                </c:pt>
              </c:strCache>
            </c:strRef>
          </c:cat>
          <c:val>
            <c:numRef>
              <c:f>'Product category Vs unit sold'!$E$5:$E$7</c:f>
              <c:numCache>
                <c:formatCode>General</c:formatCode>
                <c:ptCount val="3"/>
                <c:pt idx="1">
                  <c:v>6</c:v>
                </c:pt>
                <c:pt idx="2">
                  <c:v>6</c:v>
                </c:pt>
              </c:numCache>
            </c:numRef>
          </c:val>
          <c:extLst>
            <c:ext xmlns:c16="http://schemas.microsoft.com/office/drawing/2014/chart" uri="{C3380CC4-5D6E-409C-BE32-E72D297353CC}">
              <c16:uniqueId val="{00000002-3E7D-4EDA-A41C-2AEA3CDD1A3B}"/>
            </c:ext>
          </c:extLst>
        </c:ser>
        <c:ser>
          <c:idx val="3"/>
          <c:order val="3"/>
          <c:tx>
            <c:v>Pen</c:v>
          </c:tx>
          <c:spPr>
            <a:solidFill>
              <a:srgbClr val="8064A2"/>
            </a:solidFill>
            <a:ln w="0">
              <a:solidFill>
                <a:srgbClr val="000000"/>
              </a:solidFill>
              <a:prstDash val="solid"/>
            </a:ln>
          </c:spPr>
          <c:invertIfNegative val="0"/>
          <c:dLbls>
            <c:spPr>
              <a:noFill/>
              <a:ln>
                <a:noFill/>
              </a:ln>
              <a:effectLst/>
            </c:spPr>
            <c:txPr>
              <a:bodyPr wrap="square"/>
              <a:lstStyle/>
              <a:p>
                <a:pPr>
                  <a:defRPr sz="1000" b="0" strike="noStrike" spc="-1">
                    <a:solidFill>
                      <a:srgbClr val="000000"/>
                    </a:solidFill>
                    <a:latin typeface="Arial"/>
                    <a:ea typeface="Calibri"/>
                  </a:defRPr>
                </a:pPr>
                <a:endParaRPr lang="en-US"/>
              </a:p>
            </c:tx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'Product category Vs unit sold'!$B$5:$B$7</c:f>
              <c:strCache>
                <c:ptCount val="3"/>
                <c:pt idx="0">
                  <c:v>Office Supplies</c:v>
                </c:pt>
                <c:pt idx="1">
                  <c:v>Stationery</c:v>
                </c:pt>
                <c:pt idx="2">
                  <c:v>Grand Total</c:v>
                </c:pt>
              </c:strCache>
            </c:strRef>
          </c:cat>
          <c:val>
            <c:numRef>
              <c:f>'Product category Vs unit sold'!$F$5:$F$7</c:f>
              <c:numCache>
                <c:formatCode>General</c:formatCode>
                <c:ptCount val="3"/>
                <c:pt idx="1">
                  <c:v>5</c:v>
                </c:pt>
                <c:pt idx="2">
                  <c:v>5</c:v>
                </c:pt>
              </c:numCache>
            </c:numRef>
          </c:val>
          <c:extLst>
            <c:ext xmlns:c16="http://schemas.microsoft.com/office/drawing/2014/chart" uri="{C3380CC4-5D6E-409C-BE32-E72D297353CC}">
              <c16:uniqueId val="{00000003-3E7D-4EDA-A41C-2AEA3CDD1A3B}"/>
            </c:ext>
          </c:extLst>
        </c:ser>
        <c:dLbls>
          <c:showLegendKey val="0"/>
          <c:showVal val="0"/>
          <c:showCatName val="0"/>
          <c:showSerName val="0"/>
          <c:showPercent val="0"/>
          <c:showBubbleSize val="0"/>
        </c:dLbls>
        <c:gapWidth val="150"/>
        <c:axId val="68641605"/>
        <c:axId val="48343278"/>
      </c:barChart>
      <c:catAx>
        <c:axId val="68641605"/>
        <c:scaling>
          <c:orientation val="minMax"/>
        </c:scaling>
        <c:delete val="0"/>
        <c:axPos val="b"/>
        <c:title>
          <c:tx>
            <c:rich>
              <a:bodyPr rot="0"/>
              <a:lstStyle/>
              <a:p>
                <a:pPr>
                  <a:defRPr lang="en-IN" sz="1000" b="0" strike="noStrike" spc="-1">
                    <a:solidFill>
                      <a:srgbClr val="000000"/>
                    </a:solidFill>
                    <a:latin typeface="Calibri"/>
                    <a:ea typeface="Calibri"/>
                  </a:defRPr>
                </a:pPr>
                <a:r>
                  <a:rPr lang="en-IN" sz="1000" b="0" strike="noStrike" spc="-1">
                    <a:solidFill>
                      <a:srgbClr val="000000"/>
                    </a:solidFill>
                    <a:latin typeface="Calibri"/>
                    <a:ea typeface="Calibri"/>
                  </a:rPr>
                  <a:t>None</a:t>
                </a:r>
              </a:p>
            </c:rich>
          </c:tx>
          <c:overlay val="0"/>
          <c:spPr>
            <a:noFill/>
            <a:ln w="0">
              <a:noFill/>
              <a:prstDash val="solid"/>
            </a:ln>
          </c:spPr>
        </c:title>
        <c:numFmt formatCode="General" sourceLinked="0"/>
        <c:majorTickMark val="none"/>
        <c:minorTickMark val="none"/>
        <c:tickLblPos val="nextTo"/>
        <c:spPr>
          <a:ln w="6480">
            <a:solidFill>
              <a:srgbClr val="8B8B8B"/>
            </a:solidFill>
            <a:prstDash val="solid"/>
            <a:round/>
          </a:ln>
        </c:spPr>
        <c:txPr>
          <a:bodyPr/>
          <a:lstStyle/>
          <a:p>
            <a:pPr>
              <a:defRPr sz="900" b="0" strike="noStrike" spc="-1">
                <a:solidFill>
                  <a:srgbClr val="000000"/>
                </a:solidFill>
                <a:latin typeface="Calibri"/>
                <a:ea typeface="Calibri"/>
              </a:defRPr>
            </a:pPr>
            <a:endParaRPr lang="en-US"/>
          </a:p>
        </c:txPr>
        <c:crossAx val="48343278"/>
        <c:crosses val="autoZero"/>
        <c:auto val="1"/>
        <c:lblAlgn val="ctr"/>
        <c:lblOffset val="100"/>
        <c:noMultiLvlLbl val="0"/>
      </c:catAx>
      <c:valAx>
        <c:axId val="48343278"/>
        <c:scaling>
          <c:orientation val="minMax"/>
        </c:scaling>
        <c:delete val="0"/>
        <c:axPos val="l"/>
        <c:majorGridlines>
          <c:spPr>
            <a:ln w="6480">
              <a:solidFill>
                <a:srgbClr val="B7B7B7"/>
              </a:solidFill>
              <a:prstDash val="solid"/>
              <a:round/>
            </a:ln>
          </c:spPr>
        </c:majorGridlines>
        <c:title>
          <c:tx>
            <c:rich>
              <a:bodyPr rot="-5400000"/>
              <a:lstStyle/>
              <a:p>
                <a:pPr>
                  <a:defRPr lang="en-IN" sz="1000" b="0" strike="noStrike" spc="-1">
                    <a:solidFill>
                      <a:srgbClr val="000000"/>
                    </a:solidFill>
                    <a:latin typeface="Calibri"/>
                    <a:ea typeface="Calibri"/>
                  </a:defRPr>
                </a:pPr>
                <a:r>
                  <a:rPr lang="en-IN" sz="1000" b="0" strike="noStrike" spc="-1">
                    <a:solidFill>
                      <a:srgbClr val="000000"/>
                    </a:solidFill>
                    <a:latin typeface="Calibri"/>
                    <a:ea typeface="Calibri"/>
                  </a:rPr>
                  <a:t>None</a:t>
                </a:r>
              </a:p>
            </c:rich>
          </c:tx>
          <c:overlay val="0"/>
          <c:spPr>
            <a:noFill/>
            <a:ln w="0">
              <a:noFill/>
              <a:prstDash val="solid"/>
            </a:ln>
          </c:spPr>
        </c:title>
        <c:numFmt formatCode="General" sourceLinked="0"/>
        <c:majorTickMark val="none"/>
        <c:minorTickMark val="none"/>
        <c:tickLblPos val="nextTo"/>
        <c:spPr>
          <a:ln w="6480">
            <a:solidFill>
              <a:srgbClr val="8B8B8B"/>
            </a:solidFill>
            <a:prstDash val="solid"/>
            <a:round/>
          </a:ln>
        </c:spPr>
        <c:txPr>
          <a:bodyPr/>
          <a:lstStyle/>
          <a:p>
            <a:pPr>
              <a:defRPr sz="900" b="0" strike="noStrike" spc="-1">
                <a:solidFill>
                  <a:srgbClr val="000000"/>
                </a:solidFill>
                <a:latin typeface="Calibri"/>
                <a:ea typeface="Calibri"/>
              </a:defRPr>
            </a:pPr>
            <a:endParaRPr lang="en-US"/>
          </a:p>
        </c:txPr>
        <c:crossAx val="68641605"/>
        <c:crosses val="autoZero"/>
        <c:crossBetween val="between"/>
      </c:valAx>
    </c:plotArea>
    <c:legend>
      <c:legendPos val="r"/>
      <c:overlay val="0"/>
      <c:spPr>
        <a:noFill/>
        <a:ln w="0">
          <a:noFill/>
          <a:prstDash val="solid"/>
        </a:ln>
      </c:spPr>
      <c:txPr>
        <a:bodyPr/>
        <a:lstStyle/>
        <a:p>
          <a:pPr>
            <a:defRPr sz="900" b="0" strike="noStrike" spc="-1">
              <a:solidFill>
                <a:srgbClr val="1A1A1A"/>
              </a:solidFill>
              <a:latin typeface="Calibri"/>
              <a:ea typeface="Calibri"/>
            </a:defRPr>
          </a:pPr>
          <a:endParaRPr lang="en-US"/>
        </a:p>
      </c:txPr>
    </c:legend>
    <c:plotVisOnly val="1"/>
    <c:dispBlanksAs val="gap"/>
    <c:showDLblsOverMax val="1"/>
  </c:chart>
  <c:spPr>
    <a:solidFill>
      <a:srgbClr val="FFFFFF"/>
    </a:solidFill>
    <a:ln w="9360">
      <a:solidFill>
        <a:srgbClr val="D9D9D9"/>
      </a:solid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barChart>
        <c:barDir val="col"/>
        <c:grouping val="clustered"/>
        <c:varyColors val="0"/>
        <c:ser>
          <c:idx val="0"/>
          <c:order val="0"/>
          <c:tx>
            <c:v>North</c:v>
          </c:tx>
          <c:spPr>
            <a:solidFill>
              <a:srgbClr val="4F81BD"/>
            </a:solidFill>
            <a:ln w="0">
              <a:solidFill>
                <a:srgbClr val="000000"/>
              </a:solidFill>
              <a:prstDash val="solid"/>
            </a:ln>
          </c:spPr>
          <c:invertIfNegative val="0"/>
          <c:dLbls>
            <c:spPr>
              <a:noFill/>
              <a:ln>
                <a:noFill/>
              </a:ln>
              <a:effectLst/>
            </c:spPr>
            <c:txPr>
              <a:bodyPr wrap="square"/>
              <a:lstStyle/>
              <a:p>
                <a:pPr>
                  <a:defRPr sz="1000" b="0" strike="noStrike" spc="-1">
                    <a:solidFill>
                      <a:srgbClr val="000000"/>
                    </a:solidFill>
                    <a:latin typeface="Arial"/>
                    <a:ea typeface="Calibri"/>
                  </a:defRPr>
                </a:pPr>
                <a:endParaRPr lang="en-US"/>
              </a:p>
            </c:tx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'Product Vs region unit sold'!$B$5:$B$13</c:f>
              <c:strCache>
                <c:ptCount val="9"/>
                <c:pt idx="0">
                  <c:v>Folder</c:v>
                </c:pt>
                <c:pt idx="1">
                  <c:v>Office Supplies</c:v>
                </c:pt>
                <c:pt idx="2">
                  <c:v>Marker</c:v>
                </c:pt>
                <c:pt idx="3">
                  <c:v>Stationery</c:v>
                </c:pt>
                <c:pt idx="4">
                  <c:v>Notebook</c:v>
                </c:pt>
                <c:pt idx="5">
                  <c:v>Stationery</c:v>
                </c:pt>
                <c:pt idx="6">
                  <c:v>Pen</c:v>
                </c:pt>
                <c:pt idx="7">
                  <c:v>Stationery</c:v>
                </c:pt>
                <c:pt idx="8">
                  <c:v>Grand Total</c:v>
                </c:pt>
              </c:strCache>
            </c:strRef>
          </c:cat>
          <c:val>
            <c:numRef>
              <c:f>'Product Vs region unit sold'!$C$5:$C$13</c:f>
              <c:numCache>
                <c:formatCode>General</c:formatCode>
                <c:ptCount val="9"/>
                <c:pt idx="1">
                  <c:v>14</c:v>
                </c:pt>
                <c:pt idx="3">
                  <c:v>8</c:v>
                </c:pt>
                <c:pt idx="5">
                  <c:v>32</c:v>
                </c:pt>
                <c:pt idx="7">
                  <c:v>54</c:v>
                </c:pt>
                <c:pt idx="8">
                  <c:v>108</c:v>
                </c:pt>
              </c:numCache>
            </c:numRef>
          </c:val>
          <c:extLst>
            <c:ext xmlns:c16="http://schemas.microsoft.com/office/drawing/2014/chart" uri="{C3380CC4-5D6E-409C-BE32-E72D297353CC}">
              <c16:uniqueId val="{00000000-C2B8-4199-8D50-5FFE3ADE0532}"/>
            </c:ext>
          </c:extLst>
        </c:ser>
        <c:ser>
          <c:idx val="1"/>
          <c:order val="1"/>
          <c:tx>
            <c:v>South</c:v>
          </c:tx>
          <c:spPr>
            <a:solidFill>
              <a:srgbClr val="C0504D"/>
            </a:solidFill>
            <a:ln w="0">
              <a:solidFill>
                <a:srgbClr val="000000"/>
              </a:solidFill>
              <a:prstDash val="solid"/>
            </a:ln>
          </c:spPr>
          <c:invertIfNegative val="0"/>
          <c:dLbls>
            <c:spPr>
              <a:noFill/>
              <a:ln>
                <a:noFill/>
              </a:ln>
              <a:effectLst/>
            </c:spPr>
            <c:txPr>
              <a:bodyPr wrap="square"/>
              <a:lstStyle/>
              <a:p>
                <a:pPr>
                  <a:defRPr sz="1000" b="0" strike="noStrike" spc="-1">
                    <a:solidFill>
                      <a:srgbClr val="000000"/>
                    </a:solidFill>
                    <a:latin typeface="Arial"/>
                    <a:ea typeface="Calibri"/>
                  </a:defRPr>
                </a:pPr>
                <a:endParaRPr lang="en-US"/>
              </a:p>
            </c:tx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'Product Vs region unit sold'!$B$5:$B$13</c:f>
              <c:strCache>
                <c:ptCount val="9"/>
                <c:pt idx="0">
                  <c:v>Folder</c:v>
                </c:pt>
                <c:pt idx="1">
                  <c:v>Office Supplies</c:v>
                </c:pt>
                <c:pt idx="2">
                  <c:v>Marker</c:v>
                </c:pt>
                <c:pt idx="3">
                  <c:v>Stationery</c:v>
                </c:pt>
                <c:pt idx="4">
                  <c:v>Notebook</c:v>
                </c:pt>
                <c:pt idx="5">
                  <c:v>Stationery</c:v>
                </c:pt>
                <c:pt idx="6">
                  <c:v>Pen</c:v>
                </c:pt>
                <c:pt idx="7">
                  <c:v>Stationery</c:v>
                </c:pt>
                <c:pt idx="8">
                  <c:v>Grand Total</c:v>
                </c:pt>
              </c:strCache>
            </c:strRef>
          </c:cat>
          <c:val>
            <c:numRef>
              <c:f>'Product Vs region unit sold'!$D$5:$D$13</c:f>
              <c:numCache>
                <c:formatCode>General</c:formatCode>
                <c:ptCount val="9"/>
                <c:pt idx="1">
                  <c:v>34</c:v>
                </c:pt>
                <c:pt idx="3">
                  <c:v>69</c:v>
                </c:pt>
                <c:pt idx="5">
                  <c:v>50</c:v>
                </c:pt>
                <c:pt idx="7">
                  <c:v>85</c:v>
                </c:pt>
                <c:pt idx="8">
                  <c:v>238</c:v>
                </c:pt>
              </c:numCache>
            </c:numRef>
          </c:val>
          <c:extLst>
            <c:ext xmlns:c16="http://schemas.microsoft.com/office/drawing/2014/chart" uri="{C3380CC4-5D6E-409C-BE32-E72D297353CC}">
              <c16:uniqueId val="{00000001-C2B8-4199-8D50-5FFE3ADE0532}"/>
            </c:ext>
          </c:extLst>
        </c:ser>
        <c:dLbls>
          <c:showLegendKey val="0"/>
          <c:showVal val="0"/>
          <c:showCatName val="0"/>
          <c:showSerName val="0"/>
          <c:showPercent val="0"/>
          <c:showBubbleSize val="0"/>
        </c:dLbls>
        <c:gapWidth val="150"/>
        <c:axId val="80425914"/>
        <c:axId val="99833500"/>
      </c:barChart>
      <c:lineChart>
        <c:grouping val="standard"/>
        <c:varyColors val="0"/>
        <c:ser>
          <c:idx val="2"/>
          <c:order val="2"/>
          <c:tx>
            <c:v>West</c:v>
          </c:tx>
          <c:spPr>
            <a:ln w="28440">
              <a:solidFill>
                <a:srgbClr val="9BBB59"/>
              </a:solidFill>
              <a:prstDash val="solid"/>
              <a:round/>
            </a:ln>
          </c:spPr>
          <c:marker>
            <c:symbol val="circle"/>
            <c:size val="6"/>
            <c:spPr>
              <a:solidFill>
                <a:srgbClr val="9BBB59"/>
              </a:solidFill>
              <a:ln>
                <a:prstDash val="solid"/>
              </a:ln>
            </c:spPr>
          </c:marker>
          <c:dLbls>
            <c:spPr>
              <a:noFill/>
              <a:ln>
                <a:noFill/>
              </a:ln>
              <a:effectLst/>
            </c:spPr>
            <c:txPr>
              <a:bodyPr wrap="square"/>
              <a:lstStyle/>
              <a:p>
                <a:pPr>
                  <a:defRPr sz="1000" b="0" strike="noStrike" spc="-1">
                    <a:solidFill>
                      <a:srgbClr val="000000"/>
                    </a:solidFill>
                    <a:latin typeface="Arial"/>
                    <a:ea typeface="Calibri"/>
                  </a:defRPr>
                </a:pPr>
                <a:endParaRPr lang="en-US"/>
              </a:p>
            </c:tx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'Product Vs region unit sold'!$B$5:$B$13</c:f>
              <c:strCache>
                <c:ptCount val="9"/>
                <c:pt idx="0">
                  <c:v>Folder</c:v>
                </c:pt>
                <c:pt idx="1">
                  <c:v>Office Supplies</c:v>
                </c:pt>
                <c:pt idx="2">
                  <c:v>Marker</c:v>
                </c:pt>
                <c:pt idx="3">
                  <c:v>Stationery</c:v>
                </c:pt>
                <c:pt idx="4">
                  <c:v>Notebook</c:v>
                </c:pt>
                <c:pt idx="5">
                  <c:v>Stationery</c:v>
                </c:pt>
                <c:pt idx="6">
                  <c:v>Pen</c:v>
                </c:pt>
                <c:pt idx="7">
                  <c:v>Stationery</c:v>
                </c:pt>
                <c:pt idx="8">
                  <c:v>Grand Total</c:v>
                </c:pt>
              </c:strCache>
            </c:strRef>
          </c:cat>
          <c:val>
            <c:numRef>
              <c:f>'Product Vs region unit sold'!$E$5:$E$13</c:f>
              <c:numCache>
                <c:formatCode>General</c:formatCode>
                <c:ptCount val="9"/>
                <c:pt idx="1">
                  <c:v>70</c:v>
                </c:pt>
                <c:pt idx="3">
                  <c:v>50</c:v>
                </c:pt>
                <c:pt idx="5">
                  <c:v>28</c:v>
                </c:pt>
                <c:pt idx="7">
                  <c:v>40</c:v>
                </c:pt>
                <c:pt idx="8">
                  <c:v>188</c:v>
                </c:pt>
              </c:numCache>
            </c:numRef>
          </c:val>
          <c:smooth val="0"/>
          <c:extLst>
            <c:ext xmlns:c16="http://schemas.microsoft.com/office/drawing/2014/chart" uri="{C3380CC4-5D6E-409C-BE32-E72D297353CC}">
              <c16:uniqueId val="{00000002-C2B8-4199-8D50-5FFE3ADE0532}"/>
            </c:ext>
          </c:extLst>
        </c:ser>
        <c:dLbls>
          <c:showLegendKey val="0"/>
          <c:showVal val="0"/>
          <c:showCatName val="0"/>
          <c:showSerName val="0"/>
          <c:showPercent val="0"/>
          <c:showBubbleSize val="0"/>
        </c:dLbls>
        <c:hiLowLines>
          <c:spPr>
            <a:ln w="0">
              <a:noFill/>
              <a:prstDash val="solid"/>
            </a:ln>
          </c:spPr>
        </c:hiLowLines>
        <c:marker val="1"/>
        <c:smooth val="0"/>
        <c:axId val="80425914"/>
        <c:axId val="99833500"/>
      </c:lineChart>
      <c:catAx>
        <c:axId val="80425914"/>
        <c:scaling>
          <c:orientation val="minMax"/>
        </c:scaling>
        <c:delete val="0"/>
        <c:axPos val="b"/>
        <c:title>
          <c:tx>
            <c:rich>
              <a:bodyPr rot="0"/>
              <a:lstStyle/>
              <a:p>
                <a:pPr>
                  <a:defRPr lang="en-IN" sz="1000" b="0" strike="noStrike" spc="-1">
                    <a:solidFill>
                      <a:srgbClr val="000000"/>
                    </a:solidFill>
                    <a:latin typeface="Calibri"/>
                    <a:ea typeface="Calibri"/>
                  </a:defRPr>
                </a:pPr>
                <a:r>
                  <a:rPr lang="en-IN" sz="1000" b="0" strike="noStrike" spc="-1">
                    <a:solidFill>
                      <a:srgbClr val="000000"/>
                    </a:solidFill>
                    <a:latin typeface="Calibri"/>
                    <a:ea typeface="Calibri"/>
                  </a:rPr>
                  <a:t>None</a:t>
                </a:r>
              </a:p>
            </c:rich>
          </c:tx>
          <c:overlay val="0"/>
          <c:spPr>
            <a:noFill/>
            <a:ln w="0">
              <a:noFill/>
              <a:prstDash val="solid"/>
            </a:ln>
          </c:spPr>
        </c:title>
        <c:numFmt formatCode="General" sourceLinked="0"/>
        <c:majorTickMark val="none"/>
        <c:minorTickMark val="none"/>
        <c:tickLblPos val="nextTo"/>
        <c:spPr>
          <a:ln w="6480">
            <a:solidFill>
              <a:srgbClr val="8B8B8B"/>
            </a:solidFill>
            <a:prstDash val="solid"/>
            <a:round/>
          </a:ln>
        </c:spPr>
        <c:txPr>
          <a:bodyPr/>
          <a:lstStyle/>
          <a:p>
            <a:pPr>
              <a:defRPr sz="900" b="0" strike="noStrike" spc="-1">
                <a:solidFill>
                  <a:srgbClr val="000000"/>
                </a:solidFill>
                <a:latin typeface="Calibri"/>
                <a:ea typeface="Calibri"/>
              </a:defRPr>
            </a:pPr>
            <a:endParaRPr lang="en-US"/>
          </a:p>
        </c:txPr>
        <c:crossAx val="99833500"/>
        <c:crosses val="autoZero"/>
        <c:auto val="1"/>
        <c:lblAlgn val="ctr"/>
        <c:lblOffset val="100"/>
        <c:noMultiLvlLbl val="0"/>
      </c:catAx>
      <c:valAx>
        <c:axId val="99833500"/>
        <c:scaling>
          <c:orientation val="minMax"/>
        </c:scaling>
        <c:delete val="0"/>
        <c:axPos val="l"/>
        <c:majorGridlines>
          <c:spPr>
            <a:ln w="6480">
              <a:solidFill>
                <a:srgbClr val="B7B7B7"/>
              </a:solidFill>
              <a:prstDash val="solid"/>
              <a:round/>
            </a:ln>
          </c:spPr>
        </c:majorGridlines>
        <c:title>
          <c:tx>
            <c:rich>
              <a:bodyPr rot="-5400000"/>
              <a:lstStyle/>
              <a:p>
                <a:pPr>
                  <a:defRPr lang="en-IN" sz="1000" b="0" strike="noStrike" spc="-1">
                    <a:solidFill>
                      <a:srgbClr val="000000"/>
                    </a:solidFill>
                    <a:latin typeface="Calibri"/>
                    <a:ea typeface="Calibri"/>
                  </a:defRPr>
                </a:pPr>
                <a:r>
                  <a:rPr lang="en-IN" sz="1000" b="0" strike="noStrike" spc="-1">
                    <a:solidFill>
                      <a:srgbClr val="000000"/>
                    </a:solidFill>
                    <a:latin typeface="Calibri"/>
                    <a:ea typeface="Calibri"/>
                  </a:rPr>
                  <a:t>None</a:t>
                </a:r>
              </a:p>
            </c:rich>
          </c:tx>
          <c:overlay val="0"/>
          <c:spPr>
            <a:noFill/>
            <a:ln w="0">
              <a:noFill/>
              <a:prstDash val="solid"/>
            </a:ln>
          </c:spPr>
        </c:title>
        <c:numFmt formatCode="General" sourceLinked="0"/>
        <c:majorTickMark val="none"/>
        <c:minorTickMark val="none"/>
        <c:tickLblPos val="nextTo"/>
        <c:spPr>
          <a:ln w="6480">
            <a:solidFill>
              <a:srgbClr val="8B8B8B"/>
            </a:solidFill>
            <a:prstDash val="solid"/>
            <a:round/>
          </a:ln>
        </c:spPr>
        <c:txPr>
          <a:bodyPr/>
          <a:lstStyle/>
          <a:p>
            <a:pPr>
              <a:defRPr sz="900" b="0" strike="noStrike" spc="-1">
                <a:solidFill>
                  <a:srgbClr val="000000"/>
                </a:solidFill>
                <a:latin typeface="Calibri"/>
                <a:ea typeface="Calibri"/>
              </a:defRPr>
            </a:pPr>
            <a:endParaRPr lang="en-US"/>
          </a:p>
        </c:txPr>
        <c:crossAx val="80425914"/>
        <c:crosses val="autoZero"/>
        <c:crossBetween val="between"/>
      </c:valAx>
    </c:plotArea>
    <c:legend>
      <c:legendPos val="r"/>
      <c:overlay val="0"/>
      <c:spPr>
        <a:noFill/>
        <a:ln w="0">
          <a:noFill/>
          <a:prstDash val="solid"/>
        </a:ln>
      </c:spPr>
      <c:txPr>
        <a:bodyPr/>
        <a:lstStyle/>
        <a:p>
          <a:pPr>
            <a:defRPr sz="900" b="0" strike="noStrike" spc="-1">
              <a:solidFill>
                <a:srgbClr val="1A1A1A"/>
              </a:solidFill>
              <a:latin typeface="Calibri"/>
              <a:ea typeface="Calibri"/>
            </a:defRPr>
          </a:pPr>
          <a:endParaRPr lang="en-US"/>
        </a:p>
      </c:txPr>
    </c:legend>
    <c:plotVisOnly val="1"/>
    <c:dispBlanksAs val="gap"/>
    <c:showDLblsOverMax val="1"/>
  </c:chart>
  <c:spPr>
    <a:solidFill>
      <a:srgbClr val="FFFFFF"/>
    </a:solidFill>
    <a:ln w="9360">
      <a:solidFill>
        <a:srgbClr val="D9D9D9"/>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a:lstStyle/>
          <a:p>
            <a:pPr>
              <a:defRPr lang="en-IN" sz="1400" b="0" strike="noStrike" spc="-1">
                <a:solidFill>
                  <a:srgbClr val="757575"/>
                </a:solidFill>
                <a:latin typeface="Calibri"/>
                <a:ea typeface="Calibri"/>
              </a:defRPr>
            </a:pPr>
            <a:r>
              <a:rPr lang="en-IN" sz="1400" b="0" strike="noStrike" spc="-1">
                <a:solidFill>
                  <a:srgbClr val="757575"/>
                </a:solidFill>
                <a:latin typeface="Calibri"/>
                <a:ea typeface="Calibri"/>
              </a:rPr>
              <a:t>Product Category Vs Region sales</a:t>
            </a:r>
          </a:p>
        </c:rich>
      </c:tx>
      <c:layout>
        <c:manualLayout>
          <c:xMode val="edge"/>
          <c:yMode val="edge"/>
          <c:x val="0.27850530593813499"/>
          <c:y val="5.0316233309908601E-2"/>
        </c:manualLayout>
      </c:layout>
      <c:overlay val="0"/>
      <c:spPr>
        <a:noFill/>
        <a:ln w="0">
          <a:noFill/>
          <a:prstDash val="solid"/>
        </a:ln>
      </c:spPr>
    </c:title>
    <c:autoTitleDeleted val="0"/>
    <c:view3D>
      <c:rotX val="15"/>
      <c:rotY val="0"/>
      <c:rAngAx val="0"/>
    </c:view3D>
    <c:floor>
      <c:thickness val="0"/>
    </c:floor>
    <c:sideWall>
      <c:thickness val="0"/>
    </c:sideWall>
    <c:backWall>
      <c:thickness val="0"/>
    </c:backWall>
    <c:plotArea>
      <c:layout/>
      <c:pie3DChart>
        <c:varyColors val="1"/>
        <c:ser>
          <c:idx val="0"/>
          <c:order val="0"/>
          <c:tx>
            <c:strRef>
              <c:f>'Product Vs region unit sold'!$C$3:$C$4</c:f>
              <c:strCache>
                <c:ptCount val="2"/>
                <c:pt idx="0">
                  <c:v>Column Labels</c:v>
                </c:pt>
                <c:pt idx="1">
                  <c:v>North</c:v>
                </c:pt>
              </c:strCache>
            </c:strRef>
          </c:tx>
          <c:spPr>
            <a:solidFill>
              <a:srgbClr val="4F81BD"/>
            </a:solidFill>
            <a:ln w="0">
              <a:noFill/>
              <a:prstDash val="solid"/>
            </a:ln>
          </c:spPr>
          <c:dPt>
            <c:idx val="0"/>
            <c:bubble3D val="0"/>
            <c:extLst>
              <c:ext xmlns:c16="http://schemas.microsoft.com/office/drawing/2014/chart" uri="{C3380CC4-5D6E-409C-BE32-E72D297353CC}">
                <c16:uniqueId val="{00000001-4D69-4CF6-85C3-EE3C7E9A1416}"/>
              </c:ext>
            </c:extLst>
          </c:dPt>
          <c:dPt>
            <c:idx val="1"/>
            <c:bubble3D val="0"/>
            <c:spPr>
              <a:solidFill>
                <a:srgbClr val="C0504D"/>
              </a:solidFill>
              <a:ln w="0">
                <a:noFill/>
                <a:prstDash val="solid"/>
              </a:ln>
            </c:spPr>
            <c:extLst>
              <c:ext xmlns:c16="http://schemas.microsoft.com/office/drawing/2014/chart" uri="{C3380CC4-5D6E-409C-BE32-E72D297353CC}">
                <c16:uniqueId val="{00000003-4D69-4CF6-85C3-EE3C7E9A1416}"/>
              </c:ext>
            </c:extLst>
          </c:dPt>
          <c:dPt>
            <c:idx val="2"/>
            <c:bubble3D val="0"/>
            <c:spPr>
              <a:solidFill>
                <a:srgbClr val="9BBB59"/>
              </a:solidFill>
              <a:ln w="0">
                <a:noFill/>
                <a:prstDash val="solid"/>
              </a:ln>
            </c:spPr>
            <c:extLst>
              <c:ext xmlns:c16="http://schemas.microsoft.com/office/drawing/2014/chart" uri="{C3380CC4-5D6E-409C-BE32-E72D297353CC}">
                <c16:uniqueId val="{00000005-4D69-4CF6-85C3-EE3C7E9A1416}"/>
              </c:ext>
            </c:extLst>
          </c:dPt>
          <c:dPt>
            <c:idx val="3"/>
            <c:bubble3D val="0"/>
            <c:spPr>
              <a:solidFill>
                <a:srgbClr val="8064A2"/>
              </a:solidFill>
              <a:ln w="0">
                <a:noFill/>
                <a:prstDash val="solid"/>
              </a:ln>
            </c:spPr>
            <c:extLst>
              <c:ext xmlns:c16="http://schemas.microsoft.com/office/drawing/2014/chart" uri="{C3380CC4-5D6E-409C-BE32-E72D297353CC}">
                <c16:uniqueId val="{00000007-4D69-4CF6-85C3-EE3C7E9A1416}"/>
              </c:ext>
            </c:extLst>
          </c:dPt>
          <c:dPt>
            <c:idx val="4"/>
            <c:bubble3D val="0"/>
            <c:spPr>
              <a:solidFill>
                <a:srgbClr val="4BACC6"/>
              </a:solidFill>
              <a:ln w="0">
                <a:noFill/>
                <a:prstDash val="solid"/>
              </a:ln>
            </c:spPr>
            <c:extLst>
              <c:ext xmlns:c16="http://schemas.microsoft.com/office/drawing/2014/chart" uri="{C3380CC4-5D6E-409C-BE32-E72D297353CC}">
                <c16:uniqueId val="{00000009-4D69-4CF6-85C3-EE3C7E9A1416}"/>
              </c:ext>
            </c:extLst>
          </c:dPt>
          <c:dPt>
            <c:idx val="5"/>
            <c:bubble3D val="0"/>
            <c:spPr>
              <a:solidFill>
                <a:srgbClr val="F79646"/>
              </a:solidFill>
              <a:ln w="0">
                <a:noFill/>
                <a:prstDash val="solid"/>
              </a:ln>
            </c:spPr>
            <c:extLst>
              <c:ext xmlns:c16="http://schemas.microsoft.com/office/drawing/2014/chart" uri="{C3380CC4-5D6E-409C-BE32-E72D297353CC}">
                <c16:uniqueId val="{0000000B-4D69-4CF6-85C3-EE3C7E9A1416}"/>
              </c:ext>
            </c:extLst>
          </c:dPt>
          <c:dPt>
            <c:idx val="6"/>
            <c:bubble3D val="0"/>
            <c:spPr>
              <a:solidFill>
                <a:srgbClr val="84A7D1"/>
              </a:solidFill>
              <a:ln w="0">
                <a:noFill/>
                <a:prstDash val="solid"/>
              </a:ln>
            </c:spPr>
            <c:extLst>
              <c:ext xmlns:c16="http://schemas.microsoft.com/office/drawing/2014/chart" uri="{C3380CC4-5D6E-409C-BE32-E72D297353CC}">
                <c16:uniqueId val="{0000000D-4D69-4CF6-85C3-EE3C7E9A1416}"/>
              </c:ext>
            </c:extLst>
          </c:dPt>
          <c:dPt>
            <c:idx val="7"/>
            <c:bubble3D val="0"/>
            <c:spPr>
              <a:solidFill>
                <a:srgbClr val="D38582"/>
              </a:solidFill>
              <a:ln w="0">
                <a:noFill/>
                <a:prstDash val="solid"/>
              </a:ln>
            </c:spPr>
            <c:extLst>
              <c:ext xmlns:c16="http://schemas.microsoft.com/office/drawing/2014/chart" uri="{C3380CC4-5D6E-409C-BE32-E72D297353CC}">
                <c16:uniqueId val="{0000000F-4D69-4CF6-85C3-EE3C7E9A1416}"/>
              </c:ext>
            </c:extLst>
          </c:dPt>
          <c:dPt>
            <c:idx val="8"/>
            <c:bubble3D val="0"/>
            <c:spPr>
              <a:solidFill>
                <a:srgbClr val="B9CF8B"/>
              </a:solidFill>
              <a:ln w="0">
                <a:noFill/>
                <a:prstDash val="solid"/>
              </a:ln>
            </c:spPr>
            <c:extLst>
              <c:ext xmlns:c16="http://schemas.microsoft.com/office/drawing/2014/chart" uri="{C3380CC4-5D6E-409C-BE32-E72D297353CC}">
                <c16:uniqueId val="{00000011-4D69-4CF6-85C3-EE3C7E9A1416}"/>
              </c:ext>
            </c:extLst>
          </c:dPt>
          <c:dLbls>
            <c:dLbl>
              <c:idx val="0"/>
              <c:spPr/>
              <c:txPr>
                <a:bodyPr wrap="square"/>
                <a:lstStyle/>
                <a:p>
                  <a:pPr>
                    <a:defRPr sz="1000" b="0" strike="noStrike" spc="-1">
                      <a:solidFill>
                        <a:srgbClr val="000000"/>
                      </a:solidFill>
                      <a:latin typeface="Calibri"/>
                      <a:ea typeface="Calibri"/>
                    </a:defRPr>
                  </a:pPr>
                  <a:endParaRPr lang="en-US"/>
                </a:p>
              </c:txPr>
              <c:dLblPos val="bestFit"/>
              <c:showLegendKey val="0"/>
              <c:showVal val="0"/>
              <c:showCatName val="0"/>
              <c:showSerName val="0"/>
              <c:showPercent val="0"/>
              <c:showBubbleSize val="1"/>
              <c:extLst>
                <c:ext xmlns:c16="http://schemas.microsoft.com/office/drawing/2014/chart" uri="{C3380CC4-5D6E-409C-BE32-E72D297353CC}">
                  <c16:uniqueId val="{00000001-4D69-4CF6-85C3-EE3C7E9A1416}"/>
                </c:ext>
              </c:extLst>
            </c:dLbl>
            <c:dLbl>
              <c:idx val="1"/>
              <c:spPr/>
              <c:txPr>
                <a:bodyPr wrap="square"/>
                <a:lstStyle/>
                <a:p>
                  <a:pPr>
                    <a:defRPr sz="1000" b="0" strike="noStrike" spc="-1">
                      <a:solidFill>
                        <a:srgbClr val="000000"/>
                      </a:solidFill>
                      <a:latin typeface="Calibri"/>
                      <a:ea typeface="Calibri"/>
                    </a:defRPr>
                  </a:pPr>
                  <a:endParaRPr lang="en-US"/>
                </a:p>
              </c:txPr>
              <c:dLblPos val="bestFit"/>
              <c:showLegendKey val="0"/>
              <c:showVal val="0"/>
              <c:showCatName val="0"/>
              <c:showSerName val="0"/>
              <c:showPercent val="0"/>
              <c:showBubbleSize val="1"/>
              <c:extLst>
                <c:ext xmlns:c16="http://schemas.microsoft.com/office/drawing/2014/chart" uri="{C3380CC4-5D6E-409C-BE32-E72D297353CC}">
                  <c16:uniqueId val="{00000003-4D69-4CF6-85C3-EE3C7E9A1416}"/>
                </c:ext>
              </c:extLst>
            </c:dLbl>
            <c:dLbl>
              <c:idx val="2"/>
              <c:spPr/>
              <c:txPr>
                <a:bodyPr wrap="square"/>
                <a:lstStyle/>
                <a:p>
                  <a:pPr>
                    <a:defRPr sz="1000" b="0" strike="noStrike" spc="-1">
                      <a:solidFill>
                        <a:srgbClr val="000000"/>
                      </a:solidFill>
                      <a:latin typeface="Calibri"/>
                      <a:ea typeface="Calibri"/>
                    </a:defRPr>
                  </a:pPr>
                  <a:endParaRPr lang="en-US"/>
                </a:p>
              </c:txPr>
              <c:dLblPos val="bestFit"/>
              <c:showLegendKey val="0"/>
              <c:showVal val="0"/>
              <c:showCatName val="0"/>
              <c:showSerName val="0"/>
              <c:showPercent val="0"/>
              <c:showBubbleSize val="1"/>
              <c:extLst>
                <c:ext xmlns:c16="http://schemas.microsoft.com/office/drawing/2014/chart" uri="{C3380CC4-5D6E-409C-BE32-E72D297353CC}">
                  <c16:uniqueId val="{00000005-4D69-4CF6-85C3-EE3C7E9A1416}"/>
                </c:ext>
              </c:extLst>
            </c:dLbl>
            <c:dLbl>
              <c:idx val="3"/>
              <c:spPr/>
              <c:txPr>
                <a:bodyPr wrap="square"/>
                <a:lstStyle/>
                <a:p>
                  <a:pPr>
                    <a:defRPr sz="1000" b="0" strike="noStrike" spc="-1">
                      <a:solidFill>
                        <a:srgbClr val="000000"/>
                      </a:solidFill>
                      <a:latin typeface="Calibri"/>
                      <a:ea typeface="Calibri"/>
                    </a:defRPr>
                  </a:pPr>
                  <a:endParaRPr lang="en-US"/>
                </a:p>
              </c:txPr>
              <c:dLblPos val="bestFit"/>
              <c:showLegendKey val="0"/>
              <c:showVal val="0"/>
              <c:showCatName val="0"/>
              <c:showSerName val="0"/>
              <c:showPercent val="0"/>
              <c:showBubbleSize val="1"/>
              <c:extLst>
                <c:ext xmlns:c16="http://schemas.microsoft.com/office/drawing/2014/chart" uri="{C3380CC4-5D6E-409C-BE32-E72D297353CC}">
                  <c16:uniqueId val="{00000007-4D69-4CF6-85C3-EE3C7E9A1416}"/>
                </c:ext>
              </c:extLst>
            </c:dLbl>
            <c:dLbl>
              <c:idx val="4"/>
              <c:spPr/>
              <c:txPr>
                <a:bodyPr wrap="square"/>
                <a:lstStyle/>
                <a:p>
                  <a:pPr>
                    <a:defRPr sz="1000" b="0" strike="noStrike" spc="-1">
                      <a:solidFill>
                        <a:srgbClr val="000000"/>
                      </a:solidFill>
                      <a:latin typeface="Calibri"/>
                      <a:ea typeface="Calibri"/>
                    </a:defRPr>
                  </a:pPr>
                  <a:endParaRPr lang="en-US"/>
                </a:p>
              </c:txPr>
              <c:dLblPos val="bestFit"/>
              <c:showLegendKey val="0"/>
              <c:showVal val="0"/>
              <c:showCatName val="0"/>
              <c:showSerName val="0"/>
              <c:showPercent val="0"/>
              <c:showBubbleSize val="1"/>
              <c:extLst>
                <c:ext xmlns:c16="http://schemas.microsoft.com/office/drawing/2014/chart" uri="{C3380CC4-5D6E-409C-BE32-E72D297353CC}">
                  <c16:uniqueId val="{00000009-4D69-4CF6-85C3-EE3C7E9A1416}"/>
                </c:ext>
              </c:extLst>
            </c:dLbl>
            <c:dLbl>
              <c:idx val="5"/>
              <c:spPr/>
              <c:txPr>
                <a:bodyPr wrap="square"/>
                <a:lstStyle/>
                <a:p>
                  <a:pPr>
                    <a:defRPr sz="1000" b="0" strike="noStrike" spc="-1">
                      <a:solidFill>
                        <a:srgbClr val="000000"/>
                      </a:solidFill>
                      <a:latin typeface="Calibri"/>
                      <a:ea typeface="Calibri"/>
                    </a:defRPr>
                  </a:pPr>
                  <a:endParaRPr lang="en-US"/>
                </a:p>
              </c:txPr>
              <c:dLblPos val="bestFit"/>
              <c:showLegendKey val="0"/>
              <c:showVal val="0"/>
              <c:showCatName val="0"/>
              <c:showSerName val="0"/>
              <c:showPercent val="0"/>
              <c:showBubbleSize val="1"/>
              <c:extLst>
                <c:ext xmlns:c16="http://schemas.microsoft.com/office/drawing/2014/chart" uri="{C3380CC4-5D6E-409C-BE32-E72D297353CC}">
                  <c16:uniqueId val="{0000000B-4D69-4CF6-85C3-EE3C7E9A1416}"/>
                </c:ext>
              </c:extLst>
            </c:dLbl>
            <c:dLbl>
              <c:idx val="6"/>
              <c:spPr/>
              <c:txPr>
                <a:bodyPr wrap="square"/>
                <a:lstStyle/>
                <a:p>
                  <a:pPr>
                    <a:defRPr sz="1000" b="0" strike="noStrike" spc="-1">
                      <a:solidFill>
                        <a:srgbClr val="000000"/>
                      </a:solidFill>
                      <a:latin typeface="Calibri"/>
                      <a:ea typeface="Calibri"/>
                    </a:defRPr>
                  </a:pPr>
                  <a:endParaRPr lang="en-US"/>
                </a:p>
              </c:txPr>
              <c:dLblPos val="bestFit"/>
              <c:showLegendKey val="0"/>
              <c:showVal val="0"/>
              <c:showCatName val="0"/>
              <c:showSerName val="0"/>
              <c:showPercent val="0"/>
              <c:showBubbleSize val="1"/>
              <c:extLst>
                <c:ext xmlns:c16="http://schemas.microsoft.com/office/drawing/2014/chart" uri="{C3380CC4-5D6E-409C-BE32-E72D297353CC}">
                  <c16:uniqueId val="{0000000D-4D69-4CF6-85C3-EE3C7E9A1416}"/>
                </c:ext>
              </c:extLst>
            </c:dLbl>
            <c:dLbl>
              <c:idx val="7"/>
              <c:spPr/>
              <c:txPr>
                <a:bodyPr wrap="square"/>
                <a:lstStyle/>
                <a:p>
                  <a:pPr>
                    <a:defRPr sz="1000" b="0" strike="noStrike" spc="-1">
                      <a:solidFill>
                        <a:srgbClr val="000000"/>
                      </a:solidFill>
                      <a:latin typeface="Calibri"/>
                      <a:ea typeface="Calibri"/>
                    </a:defRPr>
                  </a:pPr>
                  <a:endParaRPr lang="en-US"/>
                </a:p>
              </c:txPr>
              <c:dLblPos val="bestFit"/>
              <c:showLegendKey val="0"/>
              <c:showVal val="0"/>
              <c:showCatName val="0"/>
              <c:showSerName val="0"/>
              <c:showPercent val="0"/>
              <c:showBubbleSize val="1"/>
              <c:extLst>
                <c:ext xmlns:c16="http://schemas.microsoft.com/office/drawing/2014/chart" uri="{C3380CC4-5D6E-409C-BE32-E72D297353CC}">
                  <c16:uniqueId val="{0000000F-4D69-4CF6-85C3-EE3C7E9A1416}"/>
                </c:ext>
              </c:extLst>
            </c:dLbl>
            <c:dLbl>
              <c:idx val="8"/>
              <c:spPr/>
              <c:txPr>
                <a:bodyPr wrap="square"/>
                <a:lstStyle/>
                <a:p>
                  <a:pPr>
                    <a:defRPr sz="1000" b="0" strike="noStrike" spc="-1">
                      <a:solidFill>
                        <a:srgbClr val="000000"/>
                      </a:solidFill>
                      <a:latin typeface="Calibri"/>
                      <a:ea typeface="Calibri"/>
                    </a:defRPr>
                  </a:pPr>
                  <a:endParaRPr lang="en-US"/>
                </a:p>
              </c:txPr>
              <c:dLblPos val="bestFit"/>
              <c:showLegendKey val="0"/>
              <c:showVal val="0"/>
              <c:showCatName val="0"/>
              <c:showSerName val="0"/>
              <c:showPercent val="0"/>
              <c:showBubbleSize val="1"/>
              <c:extLst>
                <c:ext xmlns:c16="http://schemas.microsoft.com/office/drawing/2014/chart" uri="{C3380CC4-5D6E-409C-BE32-E72D297353CC}">
                  <c16:uniqueId val="{00000011-4D69-4CF6-85C3-EE3C7E9A1416}"/>
                </c:ext>
              </c:extLst>
            </c:dLbl>
            <c:spPr>
              <a:noFill/>
              <a:ln>
                <a:noFill/>
              </a:ln>
              <a:effectLst/>
            </c:spPr>
            <c:txPr>
              <a:bodyPr wrap="square"/>
              <a:lstStyle/>
              <a:p>
                <a:pPr>
                  <a:defRPr sz="1000" b="0" strike="noStrike" spc="-1">
                    <a:solidFill>
                      <a:srgbClr val="000000"/>
                    </a:solidFill>
                    <a:latin typeface="Calibri"/>
                    <a:ea typeface="Calibri"/>
                  </a:defRPr>
                </a:pPr>
                <a:endParaRPr lang="en-US"/>
              </a:p>
            </c:txPr>
            <c:dLblPos val="bestFit"/>
            <c:showLegendKey val="0"/>
            <c:showVal val="0"/>
            <c:showCatName val="0"/>
            <c:showSerName val="0"/>
            <c:showPercent val="0"/>
            <c:showBubbleSize val="1"/>
            <c:showLeaderLines val="1"/>
            <c:extLst>
              <c:ext xmlns:c15="http://schemas.microsoft.com/office/drawing/2012/chart" uri="{CE6537A1-D6FC-4f65-9D91-7224C49458BB}"/>
            </c:extLst>
          </c:dLbls>
          <c:cat>
            <c:strRef>
              <c:f>'Product Vs region unit sold'!$B$5:$B$13</c:f>
              <c:strCache>
                <c:ptCount val="9"/>
                <c:pt idx="0">
                  <c:v>Folder</c:v>
                </c:pt>
                <c:pt idx="1">
                  <c:v>Office Supplies</c:v>
                </c:pt>
                <c:pt idx="2">
                  <c:v>Marker</c:v>
                </c:pt>
                <c:pt idx="3">
                  <c:v>Stationery</c:v>
                </c:pt>
                <c:pt idx="4">
                  <c:v>Notebook</c:v>
                </c:pt>
                <c:pt idx="5">
                  <c:v>Stationery</c:v>
                </c:pt>
                <c:pt idx="6">
                  <c:v>Pen</c:v>
                </c:pt>
                <c:pt idx="7">
                  <c:v>Stationery</c:v>
                </c:pt>
                <c:pt idx="8">
                  <c:v>Grand Total</c:v>
                </c:pt>
              </c:strCache>
            </c:strRef>
          </c:cat>
          <c:val>
            <c:numRef>
              <c:f>'Product Vs region unit sold'!$C$5:$C$13</c:f>
              <c:numCache>
                <c:formatCode>General</c:formatCode>
                <c:ptCount val="9"/>
                <c:pt idx="1">
                  <c:v>14</c:v>
                </c:pt>
                <c:pt idx="3">
                  <c:v>8</c:v>
                </c:pt>
                <c:pt idx="5">
                  <c:v>32</c:v>
                </c:pt>
                <c:pt idx="7">
                  <c:v>54</c:v>
                </c:pt>
                <c:pt idx="8">
                  <c:v>108</c:v>
                </c:pt>
              </c:numCache>
            </c:numRef>
          </c:val>
          <c:extLst>
            <c:ext xmlns:c16="http://schemas.microsoft.com/office/drawing/2014/chart" uri="{C3380CC4-5D6E-409C-BE32-E72D297353CC}">
              <c16:uniqueId val="{00000012-4D69-4CF6-85C3-EE3C7E9A1416}"/>
            </c:ext>
          </c:extLst>
        </c:ser>
        <c:dLbls>
          <c:showLegendKey val="0"/>
          <c:showVal val="0"/>
          <c:showCatName val="0"/>
          <c:showSerName val="0"/>
          <c:showPercent val="0"/>
          <c:showBubbleSize val="0"/>
          <c:showLeaderLines val="1"/>
        </c:dLbls>
      </c:pie3DChart>
    </c:plotArea>
    <c:legend>
      <c:legendPos val="r"/>
      <c:layout>
        <c:manualLayout>
          <c:xMode val="edge"/>
          <c:yMode val="edge"/>
          <c:x val="0.70544174194689702"/>
          <c:y val="0.18506235169583199"/>
          <c:w val="0.282457522766692"/>
          <c:h val="0.75996225456107103"/>
        </c:manualLayout>
      </c:layout>
      <c:overlay val="0"/>
      <c:spPr>
        <a:noFill/>
        <a:ln w="0">
          <a:noFill/>
          <a:prstDash val="solid"/>
        </a:ln>
      </c:spPr>
      <c:txPr>
        <a:bodyPr/>
        <a:lstStyle/>
        <a:p>
          <a:pPr>
            <a:defRPr sz="900" b="0" strike="noStrike" spc="-1">
              <a:solidFill>
                <a:srgbClr val="1A1A1A"/>
              </a:solidFill>
              <a:latin typeface="Calibri"/>
              <a:ea typeface="Calibri"/>
            </a:defRPr>
          </a:pPr>
          <a:endParaRPr lang="en-US"/>
        </a:p>
      </c:txPr>
    </c:legend>
    <c:plotVisOnly val="1"/>
    <c:dispBlanksAs val="gap"/>
    <c:showDLblsOverMax val="1"/>
  </c:chart>
  <c:spPr>
    <a:solidFill>
      <a:srgbClr val="FFFFFF"/>
    </a:solidFill>
    <a:ln w="9360">
      <a:solidFill>
        <a:srgbClr val="D9D9D9"/>
      </a:solidFill>
      <a:prstDash val="solid"/>
      <a:round/>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layoutTarget val="inner"/>
          <c:xMode val="edge"/>
          <c:yMode val="edge"/>
          <c:x val="4.7847037439536173E-2"/>
          <c:y val="0.11728161860387021"/>
          <c:w val="0.70301545935382181"/>
          <c:h val="0.76543676279225958"/>
        </c:manualLayout>
      </c:layout>
      <c:areaChart>
        <c:grouping val="standard"/>
        <c:varyColors val="1"/>
        <c:ser>
          <c:idx val="0"/>
          <c:order val="0"/>
          <c:tx>
            <c:v>North</c:v>
          </c:tx>
          <c:spPr>
            <a:solidFill>
              <a:srgbClr val="4F81BD"/>
            </a:solidFill>
            <a:ln w="0">
              <a:solidFill>
                <a:srgbClr val="4F81BD"/>
              </a:solidFill>
              <a:prstDash val="solid"/>
            </a:ln>
          </c:spPr>
          <c:dLbls>
            <c:spPr>
              <a:noFill/>
              <a:ln>
                <a:noFill/>
              </a:ln>
              <a:effectLst/>
            </c:spPr>
            <c:txPr>
              <a:bodyPr wrap="square"/>
              <a:lstStyle/>
              <a:p>
                <a:pPr>
                  <a:defRPr sz="1000" b="0" strike="noStrike" spc="-1">
                    <a:solidFill>
                      <a:srgbClr val="000000"/>
                    </a:solidFill>
                    <a:latin typeface="Arial"/>
                    <a:ea typeface="Calibri"/>
                  </a:defRPr>
                </a:pPr>
                <a:endParaRPr lang="en-US"/>
              </a:p>
            </c:txP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'Product Vs region unit sold'!$B$5:$B$13</c:f>
              <c:strCache>
                <c:ptCount val="9"/>
                <c:pt idx="0">
                  <c:v>Folder</c:v>
                </c:pt>
                <c:pt idx="1">
                  <c:v>Office Supplies</c:v>
                </c:pt>
                <c:pt idx="2">
                  <c:v>Marker</c:v>
                </c:pt>
                <c:pt idx="3">
                  <c:v>Stationery</c:v>
                </c:pt>
                <c:pt idx="4">
                  <c:v>Notebook</c:v>
                </c:pt>
                <c:pt idx="5">
                  <c:v>Stationery</c:v>
                </c:pt>
                <c:pt idx="6">
                  <c:v>Pen</c:v>
                </c:pt>
                <c:pt idx="7">
                  <c:v>Stationery</c:v>
                </c:pt>
                <c:pt idx="8">
                  <c:v>Grand Total</c:v>
                </c:pt>
              </c:strCache>
            </c:strRef>
          </c:cat>
          <c:val>
            <c:numRef>
              <c:f>'Product Vs region unit sold'!$C$5:$C$13</c:f>
              <c:numCache>
                <c:formatCode>General</c:formatCode>
                <c:ptCount val="9"/>
                <c:pt idx="1">
                  <c:v>14</c:v>
                </c:pt>
                <c:pt idx="3">
                  <c:v>8</c:v>
                </c:pt>
                <c:pt idx="5">
                  <c:v>32</c:v>
                </c:pt>
                <c:pt idx="7">
                  <c:v>54</c:v>
                </c:pt>
                <c:pt idx="8">
                  <c:v>108</c:v>
                </c:pt>
              </c:numCache>
            </c:numRef>
          </c:val>
          <c:extLst>
            <c:ext xmlns:c16="http://schemas.microsoft.com/office/drawing/2014/chart" uri="{C3380CC4-5D6E-409C-BE32-E72D297353CC}">
              <c16:uniqueId val="{00000000-2EC0-45AB-96AB-D91BCE234CA2}"/>
            </c:ext>
          </c:extLst>
        </c:ser>
        <c:ser>
          <c:idx val="1"/>
          <c:order val="1"/>
          <c:tx>
            <c:v>South</c:v>
          </c:tx>
          <c:spPr>
            <a:solidFill>
              <a:srgbClr val="C0504D"/>
            </a:solidFill>
            <a:ln w="0">
              <a:solidFill>
                <a:srgbClr val="C0504D"/>
              </a:solidFill>
              <a:prstDash val="solid"/>
            </a:ln>
          </c:spPr>
          <c:dLbls>
            <c:spPr>
              <a:noFill/>
              <a:ln>
                <a:noFill/>
              </a:ln>
              <a:effectLst/>
            </c:spPr>
            <c:txPr>
              <a:bodyPr wrap="square"/>
              <a:lstStyle/>
              <a:p>
                <a:pPr>
                  <a:defRPr sz="1000" b="0" strike="noStrike" spc="-1">
                    <a:solidFill>
                      <a:srgbClr val="000000"/>
                    </a:solidFill>
                    <a:latin typeface="Arial"/>
                    <a:ea typeface="Calibri"/>
                  </a:defRPr>
                </a:pPr>
                <a:endParaRPr lang="en-US"/>
              </a:p>
            </c:txP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'Product Vs region unit sold'!$B$5:$B$13</c:f>
              <c:strCache>
                <c:ptCount val="9"/>
                <c:pt idx="0">
                  <c:v>Folder</c:v>
                </c:pt>
                <c:pt idx="1">
                  <c:v>Office Supplies</c:v>
                </c:pt>
                <c:pt idx="2">
                  <c:v>Marker</c:v>
                </c:pt>
                <c:pt idx="3">
                  <c:v>Stationery</c:v>
                </c:pt>
                <c:pt idx="4">
                  <c:v>Notebook</c:v>
                </c:pt>
                <c:pt idx="5">
                  <c:v>Stationery</c:v>
                </c:pt>
                <c:pt idx="6">
                  <c:v>Pen</c:v>
                </c:pt>
                <c:pt idx="7">
                  <c:v>Stationery</c:v>
                </c:pt>
                <c:pt idx="8">
                  <c:v>Grand Total</c:v>
                </c:pt>
              </c:strCache>
            </c:strRef>
          </c:cat>
          <c:val>
            <c:numRef>
              <c:f>'Product Vs region unit sold'!$D$5:$D$13</c:f>
              <c:numCache>
                <c:formatCode>General</c:formatCode>
                <c:ptCount val="9"/>
                <c:pt idx="1">
                  <c:v>34</c:v>
                </c:pt>
                <c:pt idx="3">
                  <c:v>69</c:v>
                </c:pt>
                <c:pt idx="5">
                  <c:v>50</c:v>
                </c:pt>
                <c:pt idx="7">
                  <c:v>85</c:v>
                </c:pt>
                <c:pt idx="8">
                  <c:v>238</c:v>
                </c:pt>
              </c:numCache>
            </c:numRef>
          </c:val>
          <c:extLst>
            <c:ext xmlns:c16="http://schemas.microsoft.com/office/drawing/2014/chart" uri="{C3380CC4-5D6E-409C-BE32-E72D297353CC}">
              <c16:uniqueId val="{00000001-2EC0-45AB-96AB-D91BCE234CA2}"/>
            </c:ext>
          </c:extLst>
        </c:ser>
        <c:ser>
          <c:idx val="2"/>
          <c:order val="2"/>
          <c:tx>
            <c:v>West</c:v>
          </c:tx>
          <c:spPr>
            <a:solidFill>
              <a:srgbClr val="9BBB59"/>
            </a:solidFill>
            <a:ln w="0">
              <a:solidFill>
                <a:srgbClr val="9BBB59"/>
              </a:solidFill>
              <a:prstDash val="solid"/>
            </a:ln>
          </c:spPr>
          <c:dLbls>
            <c:spPr>
              <a:noFill/>
              <a:ln>
                <a:noFill/>
              </a:ln>
              <a:effectLst/>
            </c:spPr>
            <c:txPr>
              <a:bodyPr wrap="square"/>
              <a:lstStyle/>
              <a:p>
                <a:pPr>
                  <a:defRPr sz="1000" b="0" strike="noStrike" spc="-1">
                    <a:solidFill>
                      <a:srgbClr val="000000"/>
                    </a:solidFill>
                    <a:latin typeface="Arial"/>
                    <a:ea typeface="Calibri"/>
                  </a:defRPr>
                </a:pPr>
                <a:endParaRPr lang="en-US"/>
              </a:p>
            </c:txP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'Product Vs region unit sold'!$B$5:$B$13</c:f>
              <c:strCache>
                <c:ptCount val="9"/>
                <c:pt idx="0">
                  <c:v>Folder</c:v>
                </c:pt>
                <c:pt idx="1">
                  <c:v>Office Supplies</c:v>
                </c:pt>
                <c:pt idx="2">
                  <c:v>Marker</c:v>
                </c:pt>
                <c:pt idx="3">
                  <c:v>Stationery</c:v>
                </c:pt>
                <c:pt idx="4">
                  <c:v>Notebook</c:v>
                </c:pt>
                <c:pt idx="5">
                  <c:v>Stationery</c:v>
                </c:pt>
                <c:pt idx="6">
                  <c:v>Pen</c:v>
                </c:pt>
                <c:pt idx="7">
                  <c:v>Stationery</c:v>
                </c:pt>
                <c:pt idx="8">
                  <c:v>Grand Total</c:v>
                </c:pt>
              </c:strCache>
            </c:strRef>
          </c:cat>
          <c:val>
            <c:numRef>
              <c:f>'Product Vs region unit sold'!$E$5:$E$13</c:f>
              <c:numCache>
                <c:formatCode>General</c:formatCode>
                <c:ptCount val="9"/>
                <c:pt idx="1">
                  <c:v>70</c:v>
                </c:pt>
                <c:pt idx="3">
                  <c:v>50</c:v>
                </c:pt>
                <c:pt idx="5">
                  <c:v>28</c:v>
                </c:pt>
                <c:pt idx="7">
                  <c:v>40</c:v>
                </c:pt>
                <c:pt idx="8">
                  <c:v>188</c:v>
                </c:pt>
              </c:numCache>
            </c:numRef>
          </c:val>
          <c:extLst>
            <c:ext xmlns:c16="http://schemas.microsoft.com/office/drawing/2014/chart" uri="{C3380CC4-5D6E-409C-BE32-E72D297353CC}">
              <c16:uniqueId val="{00000002-2EC0-45AB-96AB-D91BCE234CA2}"/>
            </c:ext>
          </c:extLst>
        </c:ser>
        <c:dLbls>
          <c:showLegendKey val="0"/>
          <c:showVal val="0"/>
          <c:showCatName val="0"/>
          <c:showSerName val="0"/>
          <c:showPercent val="0"/>
          <c:showBubbleSize val="0"/>
        </c:dLbls>
        <c:axId val="10"/>
        <c:axId val="100"/>
      </c:areaChart>
      <c:catAx>
        <c:axId val="10"/>
        <c:scaling>
          <c:orientation val="minMax"/>
        </c:scaling>
        <c:delete val="1"/>
        <c:axPos val="b"/>
        <c:numFmt formatCode="General" sourceLinked="0"/>
        <c:majorTickMark val="none"/>
        <c:minorTickMark val="none"/>
        <c:tickLblPos val="nextTo"/>
        <c:crossAx val="100"/>
        <c:crosses val="autoZero"/>
        <c:auto val="1"/>
        <c:lblAlgn val="ctr"/>
        <c:lblOffset val="100"/>
        <c:noMultiLvlLbl val="1"/>
      </c:catAx>
      <c:valAx>
        <c:axId val="100"/>
        <c:scaling>
          <c:orientation val="minMax"/>
        </c:scaling>
        <c:delete val="1"/>
        <c:axPos val="l"/>
        <c:majorGridlines/>
        <c:numFmt formatCode="General" sourceLinked="1"/>
        <c:majorTickMark val="none"/>
        <c:minorTickMark val="none"/>
        <c:tickLblPos val="nextTo"/>
        <c:crossAx val="10"/>
        <c:crosses val="autoZero"/>
        <c:crossBetween val="midCat"/>
      </c:valAx>
    </c:plotArea>
    <c:legend>
      <c:legendPos val="r"/>
      <c:layout>
        <c:manualLayout>
          <c:xMode val="edge"/>
          <c:yMode val="edge"/>
          <c:x val="0.78131061152760828"/>
          <c:y val="0.2514410443688872"/>
          <c:w val="0.16214288968021259"/>
          <c:h val="0.53976577257272385"/>
        </c:manualLayout>
      </c:layout>
      <c:overlay val="0"/>
      <c:spPr>
        <a:noFill/>
        <a:ln w="0">
          <a:noFill/>
          <a:prstDash val="solid"/>
        </a:ln>
      </c:spPr>
      <c:txPr>
        <a:bodyPr/>
        <a:lstStyle/>
        <a:p>
          <a:pPr>
            <a:defRPr sz="900" b="0" strike="noStrike" spc="-1">
              <a:solidFill>
                <a:srgbClr val="1A1A1A"/>
              </a:solidFill>
              <a:latin typeface="Calibri"/>
              <a:ea typeface="Calibri"/>
            </a:defRPr>
          </a:pPr>
          <a:endParaRPr lang="en-US"/>
        </a:p>
      </c:txPr>
    </c:legend>
    <c:plotVisOnly val="1"/>
    <c:dispBlanksAs val="gap"/>
    <c:showDLblsOverMax val="1"/>
  </c:chart>
  <c:spPr>
    <a:solidFill>
      <a:srgbClr val="FFFFFF"/>
    </a:solidFill>
    <a:ln w="9360">
      <a:solidFill>
        <a:srgbClr val="D9D9D9"/>
      </a:solidFill>
      <a:prstDash val="solid"/>
      <a:round/>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barChart>
        <c:barDir val="bar"/>
        <c:grouping val="stacked"/>
        <c:varyColors val="0"/>
        <c:ser>
          <c:idx val="0"/>
          <c:order val="0"/>
          <c:tx>
            <c:v>Folder</c:v>
          </c:tx>
          <c:spPr>
            <a:solidFill>
              <a:srgbClr val="4F81BD"/>
            </a:solidFill>
            <a:ln w="0">
              <a:solidFill>
                <a:srgbClr val="000000"/>
              </a:solidFill>
              <a:prstDash val="solid"/>
            </a:ln>
          </c:spPr>
          <c:invertIfNegative val="0"/>
          <c:dLbls>
            <c:spPr>
              <a:noFill/>
              <a:ln>
                <a:noFill/>
              </a:ln>
              <a:effectLst/>
            </c:spPr>
            <c:txPr>
              <a:bodyPr wrap="square"/>
              <a:lstStyle/>
              <a:p>
                <a:pPr>
                  <a:defRPr sz="800" b="1" strike="noStrike" spc="-1">
                    <a:solidFill>
                      <a:srgbClr val="FFFFFF"/>
                    </a:solidFill>
                    <a:latin typeface="Calibri"/>
                    <a:ea typeface="Calibri"/>
                  </a:defRPr>
                </a:pPr>
                <a:endParaRPr lang="en-US"/>
              </a:p>
            </c:txPr>
            <c:dLblPos val="ctr"/>
            <c:showLegendKey val="0"/>
            <c:showVal val="1"/>
            <c:showCatName val="0"/>
            <c:showSerName val="0"/>
            <c:showPercent val="0"/>
            <c:showBubbleSize val="1"/>
            <c:showLeaderLines val="0"/>
            <c:extLst>
              <c:ext xmlns:c15="http://schemas.microsoft.com/office/drawing/2012/chart" uri="{CE6537A1-D6FC-4f65-9D91-7224C49458BB}">
                <c15:showLeaderLines val="0"/>
              </c:ext>
            </c:extLst>
          </c:dLbls>
          <c:cat>
            <c:strRef>
              <c:f>'Date Vs unit sold'!$B$5:$B$15</c:f>
              <c:strCache>
                <c:ptCount val="11"/>
                <c:pt idx="0">
                  <c:v>1-Jul</c:v>
                </c:pt>
                <c:pt idx="1">
                  <c:v>2-Jul</c:v>
                </c:pt>
                <c:pt idx="2">
                  <c:v>3-Jul</c:v>
                </c:pt>
                <c:pt idx="3">
                  <c:v>4-Jul</c:v>
                </c:pt>
                <c:pt idx="4">
                  <c:v>5-Jul</c:v>
                </c:pt>
                <c:pt idx="5">
                  <c:v>6-Jul</c:v>
                </c:pt>
                <c:pt idx="6">
                  <c:v>7-Jul</c:v>
                </c:pt>
                <c:pt idx="7">
                  <c:v>8-Jul</c:v>
                </c:pt>
                <c:pt idx="8">
                  <c:v>9-Jul</c:v>
                </c:pt>
                <c:pt idx="9">
                  <c:v>10-Jul</c:v>
                </c:pt>
                <c:pt idx="10">
                  <c:v>Grand Total</c:v>
                </c:pt>
              </c:strCache>
            </c:strRef>
          </c:cat>
          <c:val>
            <c:numRef>
              <c:f>'Date Vs unit sold'!$C$5:$C$15</c:f>
              <c:numCache>
                <c:formatCode>General</c:formatCode>
                <c:ptCount val="11"/>
                <c:pt idx="2">
                  <c:v>15</c:v>
                </c:pt>
                <c:pt idx="4">
                  <c:v>25</c:v>
                </c:pt>
                <c:pt idx="7">
                  <c:v>59</c:v>
                </c:pt>
                <c:pt idx="9">
                  <c:v>19</c:v>
                </c:pt>
                <c:pt idx="10">
                  <c:v>118</c:v>
                </c:pt>
              </c:numCache>
            </c:numRef>
          </c:val>
          <c:extLst>
            <c:ext xmlns:c16="http://schemas.microsoft.com/office/drawing/2014/chart" uri="{C3380CC4-5D6E-409C-BE32-E72D297353CC}">
              <c16:uniqueId val="{00000000-92BC-45E0-A721-156E0544F5B0}"/>
            </c:ext>
          </c:extLst>
        </c:ser>
        <c:ser>
          <c:idx val="1"/>
          <c:order val="1"/>
          <c:tx>
            <c:v>Marker</c:v>
          </c:tx>
          <c:spPr>
            <a:solidFill>
              <a:srgbClr val="C0504D"/>
            </a:solidFill>
            <a:ln w="0">
              <a:solidFill>
                <a:srgbClr val="000000"/>
              </a:solidFill>
              <a:prstDash val="solid"/>
            </a:ln>
          </c:spPr>
          <c:invertIfNegative val="0"/>
          <c:dLbls>
            <c:spPr>
              <a:noFill/>
              <a:ln>
                <a:noFill/>
              </a:ln>
              <a:effectLst/>
            </c:spPr>
            <c:txPr>
              <a:bodyPr wrap="square"/>
              <a:lstStyle/>
              <a:p>
                <a:pPr>
                  <a:defRPr sz="800" b="1" strike="noStrike" spc="-1">
                    <a:solidFill>
                      <a:srgbClr val="FFFFFF"/>
                    </a:solidFill>
                    <a:latin typeface="Calibri"/>
                    <a:ea typeface="Calibri"/>
                  </a:defRPr>
                </a:pPr>
                <a:endParaRPr lang="en-US"/>
              </a:p>
            </c:txPr>
            <c:dLblPos val="ctr"/>
            <c:showLegendKey val="0"/>
            <c:showVal val="1"/>
            <c:showCatName val="0"/>
            <c:showSerName val="0"/>
            <c:showPercent val="0"/>
            <c:showBubbleSize val="1"/>
            <c:showLeaderLines val="0"/>
            <c:extLst>
              <c:ext xmlns:c15="http://schemas.microsoft.com/office/drawing/2012/chart" uri="{CE6537A1-D6FC-4f65-9D91-7224C49458BB}">
                <c15:showLeaderLines val="0"/>
              </c:ext>
            </c:extLst>
          </c:dLbls>
          <c:cat>
            <c:strRef>
              <c:f>'Date Vs unit sold'!$B$5:$B$15</c:f>
              <c:strCache>
                <c:ptCount val="11"/>
                <c:pt idx="0">
                  <c:v>1-Jul</c:v>
                </c:pt>
                <c:pt idx="1">
                  <c:v>2-Jul</c:v>
                </c:pt>
                <c:pt idx="2">
                  <c:v>3-Jul</c:v>
                </c:pt>
                <c:pt idx="3">
                  <c:v>4-Jul</c:v>
                </c:pt>
                <c:pt idx="4">
                  <c:v>5-Jul</c:v>
                </c:pt>
                <c:pt idx="5">
                  <c:v>6-Jul</c:v>
                </c:pt>
                <c:pt idx="6">
                  <c:v>7-Jul</c:v>
                </c:pt>
                <c:pt idx="7">
                  <c:v>8-Jul</c:v>
                </c:pt>
                <c:pt idx="8">
                  <c:v>9-Jul</c:v>
                </c:pt>
                <c:pt idx="9">
                  <c:v>10-Jul</c:v>
                </c:pt>
                <c:pt idx="10">
                  <c:v>Grand Total</c:v>
                </c:pt>
              </c:strCache>
            </c:strRef>
          </c:cat>
          <c:val>
            <c:numRef>
              <c:f>'Date Vs unit sold'!$D$5:$D$15</c:f>
              <c:numCache>
                <c:formatCode>General</c:formatCode>
                <c:ptCount val="11"/>
                <c:pt idx="1">
                  <c:v>22</c:v>
                </c:pt>
                <c:pt idx="3">
                  <c:v>10</c:v>
                </c:pt>
                <c:pt idx="6">
                  <c:v>12</c:v>
                </c:pt>
                <c:pt idx="8">
                  <c:v>67</c:v>
                </c:pt>
                <c:pt idx="9">
                  <c:v>16</c:v>
                </c:pt>
                <c:pt idx="10">
                  <c:v>127</c:v>
                </c:pt>
              </c:numCache>
            </c:numRef>
          </c:val>
          <c:extLst>
            <c:ext xmlns:c16="http://schemas.microsoft.com/office/drawing/2014/chart" uri="{C3380CC4-5D6E-409C-BE32-E72D297353CC}">
              <c16:uniqueId val="{00000001-92BC-45E0-A721-156E0544F5B0}"/>
            </c:ext>
          </c:extLst>
        </c:ser>
        <c:ser>
          <c:idx val="2"/>
          <c:order val="2"/>
          <c:tx>
            <c:v>Notebook</c:v>
          </c:tx>
          <c:spPr>
            <a:solidFill>
              <a:srgbClr val="9BBB59"/>
            </a:solidFill>
            <a:ln w="0">
              <a:solidFill>
                <a:srgbClr val="000000"/>
              </a:solidFill>
              <a:prstDash val="solid"/>
            </a:ln>
          </c:spPr>
          <c:invertIfNegative val="0"/>
          <c:dLbls>
            <c:spPr>
              <a:noFill/>
              <a:ln>
                <a:noFill/>
              </a:ln>
              <a:effectLst/>
            </c:spPr>
            <c:txPr>
              <a:bodyPr wrap="square"/>
              <a:lstStyle/>
              <a:p>
                <a:pPr>
                  <a:defRPr sz="800" b="1" strike="noStrike" spc="-1">
                    <a:solidFill>
                      <a:srgbClr val="FFFFFF"/>
                    </a:solidFill>
                    <a:latin typeface="Calibri"/>
                    <a:ea typeface="Calibri"/>
                  </a:defRPr>
                </a:pPr>
                <a:endParaRPr lang="en-US"/>
              </a:p>
            </c:txPr>
            <c:dLblPos val="ctr"/>
            <c:showLegendKey val="0"/>
            <c:showVal val="1"/>
            <c:showCatName val="0"/>
            <c:showSerName val="0"/>
            <c:showPercent val="0"/>
            <c:showBubbleSize val="1"/>
            <c:showLeaderLines val="0"/>
            <c:extLst>
              <c:ext xmlns:c15="http://schemas.microsoft.com/office/drawing/2012/chart" uri="{CE6537A1-D6FC-4f65-9D91-7224C49458BB}">
                <c15:showLeaderLines val="0"/>
              </c:ext>
            </c:extLst>
          </c:dLbls>
          <c:cat>
            <c:strRef>
              <c:f>'Date Vs unit sold'!$B$5:$B$15</c:f>
              <c:strCache>
                <c:ptCount val="11"/>
                <c:pt idx="0">
                  <c:v>1-Jul</c:v>
                </c:pt>
                <c:pt idx="1">
                  <c:v>2-Jul</c:v>
                </c:pt>
                <c:pt idx="2">
                  <c:v>3-Jul</c:v>
                </c:pt>
                <c:pt idx="3">
                  <c:v>4-Jul</c:v>
                </c:pt>
                <c:pt idx="4">
                  <c:v>5-Jul</c:v>
                </c:pt>
                <c:pt idx="5">
                  <c:v>6-Jul</c:v>
                </c:pt>
                <c:pt idx="6">
                  <c:v>7-Jul</c:v>
                </c:pt>
                <c:pt idx="7">
                  <c:v>8-Jul</c:v>
                </c:pt>
                <c:pt idx="8">
                  <c:v>9-Jul</c:v>
                </c:pt>
                <c:pt idx="9">
                  <c:v>10-Jul</c:v>
                </c:pt>
                <c:pt idx="10">
                  <c:v>Grand Total</c:v>
                </c:pt>
              </c:strCache>
            </c:strRef>
          </c:cat>
          <c:val>
            <c:numRef>
              <c:f>'Date Vs unit sold'!$E$5:$E$15</c:f>
              <c:numCache>
                <c:formatCode>General</c:formatCode>
                <c:ptCount val="11"/>
                <c:pt idx="0">
                  <c:v>12</c:v>
                </c:pt>
                <c:pt idx="2">
                  <c:v>18</c:v>
                </c:pt>
                <c:pt idx="5">
                  <c:v>30</c:v>
                </c:pt>
                <c:pt idx="7">
                  <c:v>30</c:v>
                </c:pt>
                <c:pt idx="9">
                  <c:v>20</c:v>
                </c:pt>
                <c:pt idx="10">
                  <c:v>110</c:v>
                </c:pt>
              </c:numCache>
            </c:numRef>
          </c:val>
          <c:extLst>
            <c:ext xmlns:c16="http://schemas.microsoft.com/office/drawing/2014/chart" uri="{C3380CC4-5D6E-409C-BE32-E72D297353CC}">
              <c16:uniqueId val="{00000002-92BC-45E0-A721-156E0544F5B0}"/>
            </c:ext>
          </c:extLst>
        </c:ser>
        <c:ser>
          <c:idx val="3"/>
          <c:order val="3"/>
          <c:tx>
            <c:v>Pen</c:v>
          </c:tx>
          <c:spPr>
            <a:solidFill>
              <a:srgbClr val="8064A2"/>
            </a:solidFill>
            <a:ln w="0">
              <a:solidFill>
                <a:srgbClr val="000000"/>
              </a:solidFill>
              <a:prstDash val="solid"/>
            </a:ln>
          </c:spPr>
          <c:invertIfNegative val="0"/>
          <c:dLbls>
            <c:spPr>
              <a:noFill/>
              <a:ln>
                <a:noFill/>
              </a:ln>
              <a:effectLst/>
            </c:spPr>
            <c:txPr>
              <a:bodyPr wrap="square"/>
              <a:lstStyle/>
              <a:p>
                <a:pPr>
                  <a:defRPr sz="800" b="1" strike="noStrike" spc="-1">
                    <a:solidFill>
                      <a:srgbClr val="FFFFFF"/>
                    </a:solidFill>
                    <a:latin typeface="Calibri"/>
                    <a:ea typeface="Calibri"/>
                  </a:defRPr>
                </a:pPr>
                <a:endParaRPr lang="en-US"/>
              </a:p>
            </c:txPr>
            <c:dLblPos val="ctr"/>
            <c:showLegendKey val="0"/>
            <c:showVal val="1"/>
            <c:showCatName val="0"/>
            <c:showSerName val="0"/>
            <c:showPercent val="0"/>
            <c:showBubbleSize val="1"/>
            <c:showLeaderLines val="0"/>
            <c:extLst>
              <c:ext xmlns:c15="http://schemas.microsoft.com/office/drawing/2012/chart" uri="{CE6537A1-D6FC-4f65-9D91-7224C49458BB}">
                <c15:showLeaderLines val="0"/>
              </c:ext>
            </c:extLst>
          </c:dLbls>
          <c:cat>
            <c:strRef>
              <c:f>'Date Vs unit sold'!$B$5:$B$15</c:f>
              <c:strCache>
                <c:ptCount val="11"/>
                <c:pt idx="0">
                  <c:v>1-Jul</c:v>
                </c:pt>
                <c:pt idx="1">
                  <c:v>2-Jul</c:v>
                </c:pt>
                <c:pt idx="2">
                  <c:v>3-Jul</c:v>
                </c:pt>
                <c:pt idx="3">
                  <c:v>4-Jul</c:v>
                </c:pt>
                <c:pt idx="4">
                  <c:v>5-Jul</c:v>
                </c:pt>
                <c:pt idx="5">
                  <c:v>6-Jul</c:v>
                </c:pt>
                <c:pt idx="6">
                  <c:v>7-Jul</c:v>
                </c:pt>
                <c:pt idx="7">
                  <c:v>8-Jul</c:v>
                </c:pt>
                <c:pt idx="8">
                  <c:v>9-Jul</c:v>
                </c:pt>
                <c:pt idx="9">
                  <c:v>10-Jul</c:v>
                </c:pt>
                <c:pt idx="10">
                  <c:v>Grand Total</c:v>
                </c:pt>
              </c:strCache>
            </c:strRef>
          </c:cat>
          <c:val>
            <c:numRef>
              <c:f>'Date Vs unit sold'!$F$5:$F$15</c:f>
              <c:numCache>
                <c:formatCode>General</c:formatCode>
                <c:ptCount val="11"/>
                <c:pt idx="0">
                  <c:v>35</c:v>
                </c:pt>
                <c:pt idx="3">
                  <c:v>40</c:v>
                </c:pt>
                <c:pt idx="5">
                  <c:v>28</c:v>
                </c:pt>
                <c:pt idx="8">
                  <c:v>76</c:v>
                </c:pt>
                <c:pt idx="10">
                  <c:v>179</c:v>
                </c:pt>
              </c:numCache>
            </c:numRef>
          </c:val>
          <c:extLst>
            <c:ext xmlns:c16="http://schemas.microsoft.com/office/drawing/2014/chart" uri="{C3380CC4-5D6E-409C-BE32-E72D297353CC}">
              <c16:uniqueId val="{00000003-92BC-45E0-A721-156E0544F5B0}"/>
            </c:ext>
          </c:extLst>
        </c:ser>
        <c:dLbls>
          <c:showLegendKey val="0"/>
          <c:showVal val="0"/>
          <c:showCatName val="0"/>
          <c:showSerName val="0"/>
          <c:showPercent val="0"/>
          <c:showBubbleSize val="0"/>
        </c:dLbls>
        <c:gapWidth val="150"/>
        <c:overlap val="100"/>
        <c:axId val="31804567"/>
        <c:axId val="18394250"/>
      </c:barChart>
      <c:catAx>
        <c:axId val="31804567"/>
        <c:scaling>
          <c:orientation val="maxMin"/>
        </c:scaling>
        <c:delete val="0"/>
        <c:axPos val="l"/>
        <c:title>
          <c:tx>
            <c:rich>
              <a:bodyPr rot="-5400000"/>
              <a:lstStyle/>
              <a:p>
                <a:pPr>
                  <a:defRPr lang="en-IN" sz="1000" b="0" strike="noStrike" spc="-1">
                    <a:solidFill>
                      <a:srgbClr val="000000"/>
                    </a:solidFill>
                    <a:latin typeface="Calibri"/>
                    <a:ea typeface="Calibri"/>
                  </a:defRPr>
                </a:pPr>
                <a:r>
                  <a:rPr lang="en-IN" sz="1000" b="0" strike="noStrike" spc="-1">
                    <a:solidFill>
                      <a:srgbClr val="000000"/>
                    </a:solidFill>
                    <a:latin typeface="Calibri"/>
                    <a:ea typeface="Calibri"/>
                  </a:rPr>
                  <a:t>None</a:t>
                </a:r>
              </a:p>
            </c:rich>
          </c:tx>
          <c:overlay val="0"/>
          <c:spPr>
            <a:noFill/>
            <a:ln w="0">
              <a:noFill/>
              <a:prstDash val="solid"/>
            </a:ln>
          </c:spPr>
        </c:title>
        <c:numFmt formatCode="General" sourceLinked="0"/>
        <c:majorTickMark val="none"/>
        <c:minorTickMark val="none"/>
        <c:tickLblPos val="nextTo"/>
        <c:spPr>
          <a:ln w="6480">
            <a:solidFill>
              <a:srgbClr val="8B8B8B"/>
            </a:solidFill>
            <a:prstDash val="solid"/>
            <a:round/>
          </a:ln>
        </c:spPr>
        <c:txPr>
          <a:bodyPr/>
          <a:lstStyle/>
          <a:p>
            <a:pPr>
              <a:defRPr sz="800" b="0" strike="noStrike" spc="-1">
                <a:solidFill>
                  <a:srgbClr val="000000"/>
                </a:solidFill>
                <a:latin typeface="Calibri"/>
                <a:ea typeface="Calibri"/>
              </a:defRPr>
            </a:pPr>
            <a:endParaRPr lang="en-US"/>
          </a:p>
        </c:txPr>
        <c:crossAx val="18394250"/>
        <c:crosses val="autoZero"/>
        <c:auto val="1"/>
        <c:lblAlgn val="ctr"/>
        <c:lblOffset val="100"/>
        <c:noMultiLvlLbl val="0"/>
      </c:catAx>
      <c:valAx>
        <c:axId val="18394250"/>
        <c:scaling>
          <c:orientation val="minMax"/>
        </c:scaling>
        <c:delete val="0"/>
        <c:axPos val="b"/>
        <c:title>
          <c:tx>
            <c:rich>
              <a:bodyPr rot="0"/>
              <a:lstStyle/>
              <a:p>
                <a:pPr>
                  <a:defRPr lang="en-IN" sz="1000" b="0" strike="noStrike" spc="-1">
                    <a:solidFill>
                      <a:srgbClr val="000000"/>
                    </a:solidFill>
                    <a:latin typeface="Calibri"/>
                    <a:ea typeface="Calibri"/>
                  </a:defRPr>
                </a:pPr>
                <a:r>
                  <a:rPr lang="en-IN" sz="1000" b="0" strike="noStrike" spc="-1">
                    <a:solidFill>
                      <a:srgbClr val="000000"/>
                    </a:solidFill>
                    <a:latin typeface="Calibri"/>
                    <a:ea typeface="Calibri"/>
                  </a:rPr>
                  <a:t>None</a:t>
                </a:r>
              </a:p>
            </c:rich>
          </c:tx>
          <c:overlay val="0"/>
          <c:spPr>
            <a:noFill/>
            <a:ln w="0">
              <a:noFill/>
              <a:prstDash val="solid"/>
            </a:ln>
          </c:spPr>
        </c:title>
        <c:numFmt formatCode="General" sourceLinked="0"/>
        <c:majorTickMark val="none"/>
        <c:minorTickMark val="none"/>
        <c:tickLblPos val="nextTo"/>
        <c:spPr>
          <a:ln w="6480">
            <a:solidFill>
              <a:srgbClr val="8B8B8B"/>
            </a:solidFill>
            <a:prstDash val="solid"/>
            <a:round/>
          </a:ln>
        </c:spPr>
        <c:txPr>
          <a:bodyPr/>
          <a:lstStyle/>
          <a:p>
            <a:pPr>
              <a:defRPr sz="1000" b="0" strike="noStrike" spc="-1">
                <a:solidFill>
                  <a:srgbClr val="000000"/>
                </a:solidFill>
                <a:latin typeface="Calibri"/>
                <a:ea typeface="Calibri"/>
              </a:defRPr>
            </a:pPr>
            <a:endParaRPr lang="en-US"/>
          </a:p>
        </c:txPr>
        <c:crossAx val="31804567"/>
        <c:crosses val="max"/>
        <c:crossBetween val="between"/>
      </c:valAx>
    </c:plotArea>
    <c:legend>
      <c:legendPos val="r"/>
      <c:overlay val="0"/>
      <c:spPr>
        <a:noFill/>
        <a:ln w="0">
          <a:noFill/>
          <a:prstDash val="solid"/>
        </a:ln>
      </c:spPr>
      <c:txPr>
        <a:bodyPr/>
        <a:lstStyle/>
        <a:p>
          <a:pPr>
            <a:defRPr sz="900" b="0" strike="noStrike" spc="-1">
              <a:solidFill>
                <a:srgbClr val="1A1A1A"/>
              </a:solidFill>
              <a:latin typeface="Calibri"/>
              <a:ea typeface="Calibri"/>
            </a:defRPr>
          </a:pPr>
          <a:endParaRPr lang="en-US"/>
        </a:p>
      </c:txPr>
    </c:legend>
    <c:plotVisOnly val="1"/>
    <c:dispBlanksAs val="gap"/>
    <c:showDLblsOverMax val="1"/>
  </c:chart>
  <c:spPr>
    <a:solidFill>
      <a:srgbClr val="FFFFFF"/>
    </a:solidFill>
    <a:ln w="9360">
      <a:solidFill>
        <a:srgbClr val="D9D9D9"/>
      </a:solidFill>
      <a:prstDash val="solid"/>
      <a:round/>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a:lstStyle/>
          <a:p>
            <a:pPr>
              <a:defRPr lang="en-IN" sz="1800" b="1" strike="noStrike" spc="-1">
                <a:solidFill>
                  <a:srgbClr val="000000"/>
                </a:solidFill>
                <a:latin typeface="Calibri"/>
                <a:ea typeface="Calibri"/>
              </a:defRPr>
            </a:pPr>
            <a:r>
              <a:rPr lang="en-IN" sz="1800" b="1" strike="noStrike" spc="-1">
                <a:solidFill>
                  <a:srgbClr val="000000"/>
                </a:solidFill>
                <a:latin typeface="Calibri"/>
                <a:ea typeface="Calibri"/>
              </a:rPr>
              <a:t>Revenue by Product</a:t>
            </a:r>
          </a:p>
        </c:rich>
      </c:tx>
      <c:overlay val="0"/>
      <c:spPr>
        <a:noFill/>
        <a:ln w="0">
          <a:noFill/>
          <a:prstDash val="solid"/>
        </a:ln>
      </c:spPr>
    </c:title>
    <c:autoTitleDeleted val="0"/>
    <c:plotArea>
      <c:layout/>
      <c:barChart>
        <c:barDir val="col"/>
        <c:grouping val="clustered"/>
        <c:varyColors val="0"/>
        <c:ser>
          <c:idx val="0"/>
          <c:order val="0"/>
          <c:tx>
            <c:strRef>
              <c:f>Charts!$B$1</c:f>
              <c:strCache>
                <c:ptCount val="1"/>
                <c:pt idx="0">
                  <c:v>Revenue (₹)</c:v>
                </c:pt>
              </c:strCache>
            </c:strRef>
          </c:tx>
          <c:spPr>
            <a:solidFill>
              <a:srgbClr val="2E75B6"/>
            </a:solidFill>
            <a:ln w="6480">
              <a:solidFill>
                <a:srgbClr val="FFFFFF"/>
              </a:solidFill>
              <a:prstDash val="solid"/>
              <a:round/>
            </a:ln>
          </c:spPr>
          <c:invertIfNegative val="0"/>
          <c:dLbls>
            <c:spPr>
              <a:noFill/>
              <a:ln>
                <a:noFill/>
              </a:ln>
              <a:effectLst/>
            </c:spPr>
            <c:txPr>
              <a:bodyPr wrap="square"/>
              <a:lstStyle/>
              <a:p>
                <a:pPr>
                  <a:defRPr sz="1000" b="0" strike="noStrike" spc="-1">
                    <a:solidFill>
                      <a:srgbClr val="000000"/>
                    </a:solidFill>
                    <a:latin typeface="Arial"/>
                    <a:ea typeface="Calibri"/>
                  </a:defRPr>
                </a:pPr>
                <a:endParaRPr lang="en-US"/>
              </a:p>
            </c:tx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Charts!$A$2:$A$6</c:f>
              <c:strCache>
                <c:ptCount val="5"/>
                <c:pt idx="0">
                  <c:v>Notebook</c:v>
                </c:pt>
                <c:pt idx="1">
                  <c:v>Stapler</c:v>
                </c:pt>
                <c:pt idx="2">
                  <c:v>Folder</c:v>
                </c:pt>
                <c:pt idx="3">
                  <c:v>Marker</c:v>
                </c:pt>
                <c:pt idx="4">
                  <c:v>Pen</c:v>
                </c:pt>
              </c:strCache>
            </c:strRef>
          </c:cat>
          <c:val>
            <c:numRef>
              <c:f>Charts!$B$2:$B$6</c:f>
              <c:numCache>
                <c:formatCode>General</c:formatCode>
                <c:ptCount val="5"/>
                <c:pt idx="0">
                  <c:v>13200</c:v>
                </c:pt>
                <c:pt idx="1">
                  <c:v>9900</c:v>
                </c:pt>
                <c:pt idx="2">
                  <c:v>5900</c:v>
                </c:pt>
                <c:pt idx="3">
                  <c:v>3810</c:v>
                </c:pt>
                <c:pt idx="4">
                  <c:v>2685</c:v>
                </c:pt>
              </c:numCache>
            </c:numRef>
          </c:val>
          <c:extLst>
            <c:ext xmlns:c16="http://schemas.microsoft.com/office/drawing/2014/chart" uri="{C3380CC4-5D6E-409C-BE32-E72D297353CC}">
              <c16:uniqueId val="{00000000-5404-44BE-9FE5-BB715764BD46}"/>
            </c:ext>
          </c:extLst>
        </c:ser>
        <c:dLbls>
          <c:showLegendKey val="0"/>
          <c:showVal val="0"/>
          <c:showCatName val="0"/>
          <c:showSerName val="0"/>
          <c:showPercent val="0"/>
          <c:showBubbleSize val="0"/>
        </c:dLbls>
        <c:gapWidth val="150"/>
        <c:axId val="31406980"/>
        <c:axId val="88411337"/>
      </c:barChart>
      <c:catAx>
        <c:axId val="31406980"/>
        <c:scaling>
          <c:orientation val="minMax"/>
        </c:scaling>
        <c:delete val="0"/>
        <c:axPos val="b"/>
        <c:title>
          <c:tx>
            <c:rich>
              <a:bodyPr rot="0"/>
              <a:lstStyle/>
              <a:p>
                <a:pPr>
                  <a:defRPr lang="en-IN" sz="1000" b="1" strike="noStrike" spc="-1">
                    <a:solidFill>
                      <a:srgbClr val="000000"/>
                    </a:solidFill>
                    <a:latin typeface="Calibri"/>
                    <a:ea typeface="Calibri"/>
                  </a:defRPr>
                </a:pPr>
                <a:r>
                  <a:rPr lang="en-IN" sz="1000" b="1" strike="noStrike" spc="-1">
                    <a:solidFill>
                      <a:srgbClr val="000000"/>
                    </a:solidFill>
                    <a:latin typeface="Calibri"/>
                    <a:ea typeface="Calibri"/>
                  </a:rPr>
                  <a:t>Product</a:t>
                </a:r>
              </a:p>
            </c:rich>
          </c:tx>
          <c:overlay val="0"/>
          <c:spPr>
            <a:noFill/>
            <a:ln w="0">
              <a:noFill/>
              <a:prstDash val="solid"/>
            </a:ln>
          </c:spPr>
        </c:title>
        <c:numFmt formatCode="General" sourceLinked="0"/>
        <c:majorTickMark val="none"/>
        <c:minorTickMark val="none"/>
        <c:tickLblPos val="nextTo"/>
        <c:spPr>
          <a:ln w="6480">
            <a:solidFill>
              <a:srgbClr val="8B8B8B"/>
            </a:solidFill>
            <a:prstDash val="solid"/>
            <a:round/>
          </a:ln>
        </c:spPr>
        <c:txPr>
          <a:bodyPr/>
          <a:lstStyle/>
          <a:p>
            <a:pPr>
              <a:defRPr sz="1000" b="0" strike="noStrike" spc="-1">
                <a:solidFill>
                  <a:srgbClr val="000000"/>
                </a:solidFill>
                <a:latin typeface="Calibri"/>
                <a:ea typeface="Calibri"/>
              </a:defRPr>
            </a:pPr>
            <a:endParaRPr lang="en-US"/>
          </a:p>
        </c:txPr>
        <c:crossAx val="88411337"/>
        <c:crosses val="autoZero"/>
        <c:auto val="1"/>
        <c:lblAlgn val="ctr"/>
        <c:lblOffset val="100"/>
        <c:noMultiLvlLbl val="0"/>
      </c:catAx>
      <c:valAx>
        <c:axId val="88411337"/>
        <c:scaling>
          <c:orientation val="minMax"/>
        </c:scaling>
        <c:delete val="0"/>
        <c:axPos val="l"/>
        <c:majorGridlines>
          <c:spPr>
            <a:ln w="6480">
              <a:solidFill>
                <a:srgbClr val="8B8B8B"/>
              </a:solidFill>
              <a:prstDash val="solid"/>
              <a:round/>
            </a:ln>
          </c:spPr>
        </c:majorGridlines>
        <c:title>
          <c:tx>
            <c:rich>
              <a:bodyPr rot="-5400000"/>
              <a:lstStyle/>
              <a:p>
                <a:pPr>
                  <a:defRPr lang="en-IN" sz="1000" b="1" strike="noStrike" spc="-1">
                    <a:solidFill>
                      <a:srgbClr val="000000"/>
                    </a:solidFill>
                    <a:latin typeface="Calibri"/>
                    <a:ea typeface="Calibri"/>
                  </a:defRPr>
                </a:pPr>
                <a:r>
                  <a:rPr lang="en-IN" sz="1000" b="1" strike="noStrike" spc="-1">
                    <a:solidFill>
                      <a:srgbClr val="000000"/>
                    </a:solidFill>
                    <a:latin typeface="Calibri"/>
                    <a:ea typeface="Calibri"/>
                  </a:rPr>
                  <a:t>₹</a:t>
                </a:r>
              </a:p>
            </c:rich>
          </c:tx>
          <c:overlay val="0"/>
          <c:spPr>
            <a:noFill/>
            <a:ln w="0">
              <a:noFill/>
              <a:prstDash val="solid"/>
            </a:ln>
          </c:spPr>
        </c:title>
        <c:numFmt formatCode="General" sourceLinked="0"/>
        <c:majorTickMark val="none"/>
        <c:minorTickMark val="none"/>
        <c:tickLblPos val="nextTo"/>
        <c:spPr>
          <a:ln w="6480">
            <a:solidFill>
              <a:srgbClr val="8B8B8B"/>
            </a:solidFill>
            <a:prstDash val="solid"/>
            <a:round/>
          </a:ln>
        </c:spPr>
        <c:txPr>
          <a:bodyPr/>
          <a:lstStyle/>
          <a:p>
            <a:pPr>
              <a:defRPr sz="1000" b="0" strike="noStrike" spc="-1">
                <a:solidFill>
                  <a:srgbClr val="000000"/>
                </a:solidFill>
                <a:latin typeface="Calibri"/>
                <a:ea typeface="Calibri"/>
              </a:defRPr>
            </a:pPr>
            <a:endParaRPr lang="en-US"/>
          </a:p>
        </c:txPr>
        <c:crossAx val="31406980"/>
        <c:crosses val="autoZero"/>
        <c:crossBetween val="between"/>
      </c:valAx>
    </c:plotArea>
    <c:legend>
      <c:legendPos val="r"/>
      <c:overlay val="0"/>
      <c:spPr>
        <a:noFill/>
        <a:ln w="0">
          <a:noFill/>
          <a:prstDash val="solid"/>
        </a:ln>
      </c:spPr>
      <c:txPr>
        <a:bodyPr/>
        <a:lstStyle/>
        <a:p>
          <a:pPr>
            <a:defRPr sz="1000" b="0" strike="noStrike" spc="-1">
              <a:solidFill>
                <a:srgbClr val="000000"/>
              </a:solidFill>
              <a:latin typeface="Calibri"/>
              <a:ea typeface="Calibri"/>
            </a:defRPr>
          </a:pPr>
          <a:endParaRPr lang="en-US"/>
        </a:p>
      </c:txPr>
    </c:legend>
    <c:plotVisOnly val="1"/>
    <c:dispBlanksAs val="gap"/>
    <c:showDLblsOverMax val="1"/>
  </c:chart>
  <c:spPr>
    <a:solidFill>
      <a:srgbClr val="FFFFFF"/>
    </a:solidFill>
    <a:ln w="9360">
      <a:solidFill>
        <a:srgbClr val="D9D9D9"/>
      </a:solidFill>
      <a:prstDash val="solid"/>
      <a:round/>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a:lstStyle/>
          <a:p>
            <a:pPr>
              <a:defRPr lang="en-IN" sz="1800" b="1" strike="noStrike" spc="-1">
                <a:solidFill>
                  <a:srgbClr val="000000"/>
                </a:solidFill>
                <a:latin typeface="Calibri"/>
                <a:ea typeface="Calibri"/>
              </a:defRPr>
            </a:pPr>
            <a:r>
              <a:rPr lang="en-IN" sz="1800" b="1" strike="noStrike" spc="-1">
                <a:solidFill>
                  <a:srgbClr val="000000"/>
                </a:solidFill>
                <a:latin typeface="Calibri"/>
                <a:ea typeface="Calibri"/>
              </a:rPr>
              <a:t>Region Revenue Share</a:t>
            </a:r>
          </a:p>
        </c:rich>
      </c:tx>
      <c:overlay val="0"/>
      <c:spPr>
        <a:noFill/>
        <a:ln w="0">
          <a:noFill/>
          <a:prstDash val="solid"/>
        </a:ln>
      </c:spPr>
    </c:title>
    <c:autoTitleDeleted val="0"/>
    <c:plotArea>
      <c:layout/>
      <c:pieChart>
        <c:varyColors val="1"/>
        <c:ser>
          <c:idx val="0"/>
          <c:order val="0"/>
          <c:tx>
            <c:strRef>
              <c:f>Charts!$F$1</c:f>
              <c:strCache>
                <c:ptCount val="1"/>
                <c:pt idx="0">
                  <c:v>Revenue</c:v>
                </c:pt>
              </c:strCache>
            </c:strRef>
          </c:tx>
          <c:spPr>
            <a:solidFill>
              <a:srgbClr val="4F81BD"/>
            </a:solidFill>
            <a:ln w="6480">
              <a:solidFill>
                <a:srgbClr val="FFFFFF"/>
              </a:solidFill>
              <a:prstDash val="solid"/>
              <a:round/>
            </a:ln>
          </c:spPr>
          <c:explosion val="5"/>
          <c:dPt>
            <c:idx val="0"/>
            <c:bubble3D val="0"/>
            <c:spPr>
              <a:solidFill>
                <a:srgbClr val="2E75B6"/>
              </a:solidFill>
              <a:ln w="6480">
                <a:solidFill>
                  <a:srgbClr val="FFFFFF"/>
                </a:solidFill>
                <a:prstDash val="solid"/>
                <a:round/>
              </a:ln>
            </c:spPr>
            <c:extLst>
              <c:ext xmlns:c16="http://schemas.microsoft.com/office/drawing/2014/chart" uri="{C3380CC4-5D6E-409C-BE32-E72D297353CC}">
                <c16:uniqueId val="{00000001-116C-47F5-B996-97563AF5C0B8}"/>
              </c:ext>
            </c:extLst>
          </c:dPt>
          <c:dPt>
            <c:idx val="1"/>
            <c:bubble3D val="0"/>
            <c:spPr>
              <a:solidFill>
                <a:srgbClr val="ED7D31"/>
              </a:solidFill>
              <a:ln w="6480">
                <a:solidFill>
                  <a:srgbClr val="FFFFFF"/>
                </a:solidFill>
                <a:prstDash val="solid"/>
                <a:round/>
              </a:ln>
            </c:spPr>
            <c:extLst>
              <c:ext xmlns:c16="http://schemas.microsoft.com/office/drawing/2014/chart" uri="{C3380CC4-5D6E-409C-BE32-E72D297353CC}">
                <c16:uniqueId val="{00000003-116C-47F5-B996-97563AF5C0B8}"/>
              </c:ext>
            </c:extLst>
          </c:dPt>
          <c:dPt>
            <c:idx val="2"/>
            <c:bubble3D val="0"/>
            <c:spPr>
              <a:solidFill>
                <a:srgbClr val="375623"/>
              </a:solidFill>
              <a:ln w="6480">
                <a:solidFill>
                  <a:srgbClr val="FFFFFF"/>
                </a:solidFill>
                <a:prstDash val="solid"/>
                <a:round/>
              </a:ln>
            </c:spPr>
            <c:extLst>
              <c:ext xmlns:c16="http://schemas.microsoft.com/office/drawing/2014/chart" uri="{C3380CC4-5D6E-409C-BE32-E72D297353CC}">
                <c16:uniqueId val="{00000005-116C-47F5-B996-97563AF5C0B8}"/>
              </c:ext>
            </c:extLst>
          </c:dPt>
          <c:dLbls>
            <c:dLbl>
              <c:idx val="0"/>
              <c:spPr/>
              <c:txPr>
                <a:bodyPr wrap="square"/>
                <a:lstStyle/>
                <a:p>
                  <a:pPr>
                    <a:defRPr sz="1000" b="0" strike="noStrike" spc="-1">
                      <a:solidFill>
                        <a:srgbClr val="000000"/>
                      </a:solidFill>
                      <a:latin typeface="Calibri"/>
                      <a:ea typeface="Calibri"/>
                    </a:defRPr>
                  </a:pPr>
                  <a:endParaRPr lang="en-US"/>
                </a:p>
              </c:txPr>
              <c:dLblPos val="bestFit"/>
              <c:showLegendKey val="1"/>
              <c:showVal val="1"/>
              <c:showCatName val="1"/>
              <c:showSerName val="1"/>
              <c:showPercent val="1"/>
              <c:showBubbleSize val="1"/>
              <c:extLst>
                <c:ext xmlns:c16="http://schemas.microsoft.com/office/drawing/2014/chart" uri="{C3380CC4-5D6E-409C-BE32-E72D297353CC}">
                  <c16:uniqueId val="{00000001-116C-47F5-B996-97563AF5C0B8}"/>
                </c:ext>
              </c:extLst>
            </c:dLbl>
            <c:dLbl>
              <c:idx val="1"/>
              <c:spPr/>
              <c:txPr>
                <a:bodyPr wrap="square"/>
                <a:lstStyle/>
                <a:p>
                  <a:pPr>
                    <a:defRPr sz="1000" b="0" strike="noStrike" spc="-1">
                      <a:solidFill>
                        <a:srgbClr val="000000"/>
                      </a:solidFill>
                      <a:latin typeface="Calibri"/>
                      <a:ea typeface="Calibri"/>
                    </a:defRPr>
                  </a:pPr>
                  <a:endParaRPr lang="en-US"/>
                </a:p>
              </c:txPr>
              <c:dLblPos val="bestFit"/>
              <c:showLegendKey val="1"/>
              <c:showVal val="1"/>
              <c:showCatName val="1"/>
              <c:showSerName val="1"/>
              <c:showPercent val="1"/>
              <c:showBubbleSize val="1"/>
              <c:extLst>
                <c:ext xmlns:c16="http://schemas.microsoft.com/office/drawing/2014/chart" uri="{C3380CC4-5D6E-409C-BE32-E72D297353CC}">
                  <c16:uniqueId val="{00000003-116C-47F5-B996-97563AF5C0B8}"/>
                </c:ext>
              </c:extLst>
            </c:dLbl>
            <c:dLbl>
              <c:idx val="2"/>
              <c:spPr/>
              <c:txPr>
                <a:bodyPr wrap="square"/>
                <a:lstStyle/>
                <a:p>
                  <a:pPr>
                    <a:defRPr sz="1000" b="0" strike="noStrike" spc="-1">
                      <a:solidFill>
                        <a:srgbClr val="000000"/>
                      </a:solidFill>
                      <a:latin typeface="Calibri"/>
                      <a:ea typeface="Calibri"/>
                    </a:defRPr>
                  </a:pPr>
                  <a:endParaRPr lang="en-US"/>
                </a:p>
              </c:txPr>
              <c:dLblPos val="bestFit"/>
              <c:showLegendKey val="1"/>
              <c:showVal val="1"/>
              <c:showCatName val="1"/>
              <c:showSerName val="1"/>
              <c:showPercent val="1"/>
              <c:showBubbleSize val="1"/>
              <c:extLst>
                <c:ext xmlns:c16="http://schemas.microsoft.com/office/drawing/2014/chart" uri="{C3380CC4-5D6E-409C-BE32-E72D297353CC}">
                  <c16:uniqueId val="{00000005-116C-47F5-B996-97563AF5C0B8}"/>
                </c:ext>
              </c:extLst>
            </c:dLbl>
            <c:spPr>
              <a:noFill/>
              <a:ln>
                <a:noFill/>
              </a:ln>
              <a:effectLst/>
            </c:spPr>
            <c:txPr>
              <a:bodyPr wrap="square"/>
              <a:lstStyle/>
              <a:p>
                <a:pPr>
                  <a:defRPr sz="1000" b="0" strike="noStrike" spc="-1">
                    <a:solidFill>
                      <a:srgbClr val="000000"/>
                    </a:solidFill>
                    <a:latin typeface="Calibri"/>
                    <a:ea typeface="Calibri"/>
                  </a:defRPr>
                </a:pPr>
                <a:endParaRPr lang="en-US"/>
              </a:p>
            </c:txPr>
            <c:dLblPos val="bestFit"/>
            <c:showLegendKey val="1"/>
            <c:showVal val="1"/>
            <c:showCatName val="1"/>
            <c:showSerName val="1"/>
            <c:showPercent val="1"/>
            <c:showBubbleSize val="1"/>
            <c:showLeaderLines val="1"/>
            <c:extLst>
              <c:ext xmlns:c15="http://schemas.microsoft.com/office/drawing/2012/chart" uri="{CE6537A1-D6FC-4f65-9D91-7224C49458BB}"/>
            </c:extLst>
          </c:dLbls>
          <c:cat>
            <c:strRef>
              <c:f>Charts!$E$2:$E$4</c:f>
              <c:strCache>
                <c:ptCount val="3"/>
                <c:pt idx="0">
                  <c:v>West</c:v>
                </c:pt>
                <c:pt idx="1">
                  <c:v>South</c:v>
                </c:pt>
                <c:pt idx="2">
                  <c:v>North</c:v>
                </c:pt>
              </c:strCache>
            </c:strRef>
          </c:cat>
          <c:val>
            <c:numRef>
              <c:f>Charts!$F$2:$F$4</c:f>
              <c:numCache>
                <c:formatCode>General</c:formatCode>
                <c:ptCount val="3"/>
                <c:pt idx="0">
                  <c:v>11380</c:v>
                </c:pt>
                <c:pt idx="1">
                  <c:v>15445</c:v>
                </c:pt>
                <c:pt idx="2">
                  <c:v>8670</c:v>
                </c:pt>
              </c:numCache>
            </c:numRef>
          </c:val>
          <c:extLst>
            <c:ext xmlns:c16="http://schemas.microsoft.com/office/drawing/2014/chart" uri="{C3380CC4-5D6E-409C-BE32-E72D297353CC}">
              <c16:uniqueId val="{00000006-116C-47F5-B996-97563AF5C0B8}"/>
            </c:ext>
          </c:extLst>
        </c:ser>
        <c:dLbls>
          <c:showLegendKey val="0"/>
          <c:showVal val="0"/>
          <c:showCatName val="0"/>
          <c:showSerName val="0"/>
          <c:showPercent val="0"/>
          <c:showBubbleSize val="0"/>
          <c:showLeaderLines val="1"/>
        </c:dLbls>
        <c:firstSliceAng val="0"/>
      </c:pieChart>
    </c:plotArea>
    <c:legend>
      <c:legendPos val="r"/>
      <c:overlay val="0"/>
      <c:spPr>
        <a:noFill/>
        <a:ln w="0">
          <a:noFill/>
          <a:prstDash val="solid"/>
        </a:ln>
      </c:spPr>
      <c:txPr>
        <a:bodyPr/>
        <a:lstStyle/>
        <a:p>
          <a:pPr>
            <a:defRPr sz="1000" b="0" strike="noStrike" spc="-1">
              <a:solidFill>
                <a:srgbClr val="000000"/>
              </a:solidFill>
              <a:latin typeface="Calibri"/>
              <a:ea typeface="Calibri"/>
            </a:defRPr>
          </a:pPr>
          <a:endParaRPr lang="en-US"/>
        </a:p>
      </c:txPr>
    </c:legend>
    <c:plotVisOnly val="1"/>
    <c:dispBlanksAs val="gap"/>
    <c:showDLblsOverMax val="1"/>
  </c:chart>
  <c:spPr>
    <a:solidFill>
      <a:srgbClr val="FFFFFF"/>
    </a:solidFill>
    <a:ln w="9360">
      <a:solidFill>
        <a:srgbClr val="D9D9D9"/>
      </a:solidFill>
      <a:prstDash val="solid"/>
      <a:round/>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a:lstStyle/>
          <a:p>
            <a:pPr>
              <a:defRPr lang="en-IN" sz="1800" b="1" strike="noStrike" spc="-1">
                <a:solidFill>
                  <a:srgbClr val="000000"/>
                </a:solidFill>
                <a:latin typeface="Calibri"/>
                <a:ea typeface="Calibri"/>
              </a:defRPr>
            </a:pPr>
            <a:r>
              <a:rPr lang="en-IN" sz="1800" b="1" strike="noStrike" spc="-1">
                <a:solidFill>
                  <a:srgbClr val="000000"/>
                </a:solidFill>
                <a:latin typeface="Calibri"/>
                <a:ea typeface="Calibri"/>
              </a:rPr>
              <a:t>Daily Revenue Trend</a:t>
            </a:r>
          </a:p>
        </c:rich>
      </c:tx>
      <c:overlay val="0"/>
      <c:spPr>
        <a:noFill/>
        <a:ln w="0">
          <a:noFill/>
          <a:prstDash val="solid"/>
        </a:ln>
      </c:spPr>
    </c:title>
    <c:autoTitleDeleted val="0"/>
    <c:plotArea>
      <c:layout/>
      <c:lineChart>
        <c:grouping val="standard"/>
        <c:varyColors val="0"/>
        <c:ser>
          <c:idx val="0"/>
          <c:order val="0"/>
          <c:tx>
            <c:strRef>
              <c:f>Charts!$I$1</c:f>
              <c:strCache>
                <c:ptCount val="1"/>
                <c:pt idx="0">
                  <c:v>Revenue</c:v>
                </c:pt>
              </c:strCache>
            </c:strRef>
          </c:tx>
          <c:spPr>
            <a:ln w="24840">
              <a:solidFill>
                <a:srgbClr val="ED7D31"/>
              </a:solidFill>
              <a:prstDash val="solid"/>
              <a:round/>
            </a:ln>
          </c:spPr>
          <c:marker>
            <c:symbol val="none"/>
          </c:marker>
          <c:dLbls>
            <c:spPr>
              <a:noFill/>
              <a:ln>
                <a:noFill/>
              </a:ln>
              <a:effectLst/>
            </c:spPr>
            <c:txPr>
              <a:bodyPr wrap="square"/>
              <a:lstStyle/>
              <a:p>
                <a:pPr>
                  <a:defRPr sz="1000" b="0" strike="noStrike" spc="-1">
                    <a:solidFill>
                      <a:srgbClr val="000000"/>
                    </a:solidFill>
                    <a:latin typeface="Arial"/>
                    <a:ea typeface="Calibri"/>
                  </a:defRPr>
                </a:pPr>
                <a:endParaRPr lang="en-US"/>
              </a:p>
            </c:tx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Charts!$H$2:$H$11</c:f>
              <c:strCache>
                <c:ptCount val="10"/>
                <c:pt idx="0">
                  <c:v>01-Jul</c:v>
                </c:pt>
                <c:pt idx="1">
                  <c:v>02-Jul</c:v>
                </c:pt>
                <c:pt idx="2">
                  <c:v>03-Jul</c:v>
                </c:pt>
                <c:pt idx="3">
                  <c:v>04-Jul</c:v>
                </c:pt>
                <c:pt idx="4">
                  <c:v>05-Jul</c:v>
                </c:pt>
                <c:pt idx="5">
                  <c:v>06-Jul</c:v>
                </c:pt>
                <c:pt idx="6">
                  <c:v>07-Jul</c:v>
                </c:pt>
                <c:pt idx="7">
                  <c:v>08-Jul</c:v>
                </c:pt>
                <c:pt idx="8">
                  <c:v>09-Jul</c:v>
                </c:pt>
                <c:pt idx="9">
                  <c:v>10-Jul</c:v>
                </c:pt>
              </c:strCache>
            </c:strRef>
          </c:cat>
          <c:val>
            <c:numRef>
              <c:f>Charts!$I$2:$I$11</c:f>
              <c:numCache>
                <c:formatCode>General</c:formatCode>
                <c:ptCount val="10"/>
                <c:pt idx="0">
                  <c:v>1965</c:v>
                </c:pt>
                <c:pt idx="1">
                  <c:v>2420</c:v>
                </c:pt>
                <c:pt idx="2">
                  <c:v>2910</c:v>
                </c:pt>
                <c:pt idx="3">
                  <c:v>900</c:v>
                </c:pt>
                <c:pt idx="4">
                  <c:v>2570</c:v>
                </c:pt>
                <c:pt idx="5">
                  <c:v>4020</c:v>
                </c:pt>
                <c:pt idx="6">
                  <c:v>4760</c:v>
                </c:pt>
                <c:pt idx="7">
                  <c:v>6550</c:v>
                </c:pt>
                <c:pt idx="8">
                  <c:v>3150</c:v>
                </c:pt>
                <c:pt idx="9">
                  <c:v>6250</c:v>
                </c:pt>
              </c:numCache>
            </c:numRef>
          </c:val>
          <c:smooth val="1"/>
          <c:extLst>
            <c:ext xmlns:c16="http://schemas.microsoft.com/office/drawing/2014/chart" uri="{C3380CC4-5D6E-409C-BE32-E72D297353CC}">
              <c16:uniqueId val="{00000000-1C15-4841-8852-172406C5DF9C}"/>
            </c:ext>
          </c:extLst>
        </c:ser>
        <c:dLbls>
          <c:showLegendKey val="0"/>
          <c:showVal val="0"/>
          <c:showCatName val="0"/>
          <c:showSerName val="0"/>
          <c:showPercent val="0"/>
          <c:showBubbleSize val="0"/>
        </c:dLbls>
        <c:hiLowLines>
          <c:spPr>
            <a:ln w="0">
              <a:noFill/>
              <a:prstDash val="solid"/>
            </a:ln>
          </c:spPr>
        </c:hiLowLines>
        <c:smooth val="0"/>
        <c:axId val="12524126"/>
        <c:axId val="33802438"/>
      </c:lineChart>
      <c:catAx>
        <c:axId val="12524126"/>
        <c:scaling>
          <c:orientation val="minMax"/>
        </c:scaling>
        <c:delete val="0"/>
        <c:axPos val="b"/>
        <c:title>
          <c:tx>
            <c:rich>
              <a:bodyPr rot="0"/>
              <a:lstStyle/>
              <a:p>
                <a:pPr>
                  <a:defRPr lang="en-IN" sz="1000" b="1" strike="noStrike" spc="-1">
                    <a:solidFill>
                      <a:srgbClr val="000000"/>
                    </a:solidFill>
                    <a:latin typeface="Calibri"/>
                    <a:ea typeface="Calibri"/>
                  </a:defRPr>
                </a:pPr>
                <a:r>
                  <a:rPr lang="en-IN" sz="1000" b="1" strike="noStrike" spc="-1">
                    <a:solidFill>
                      <a:srgbClr val="000000"/>
                    </a:solidFill>
                    <a:latin typeface="Calibri"/>
                    <a:ea typeface="Calibri"/>
                  </a:rPr>
                  <a:t>Date</a:t>
                </a:r>
              </a:p>
            </c:rich>
          </c:tx>
          <c:overlay val="0"/>
          <c:spPr>
            <a:noFill/>
            <a:ln w="0">
              <a:noFill/>
              <a:prstDash val="solid"/>
            </a:ln>
          </c:spPr>
        </c:title>
        <c:numFmt formatCode="General" sourceLinked="0"/>
        <c:majorTickMark val="none"/>
        <c:minorTickMark val="none"/>
        <c:tickLblPos val="nextTo"/>
        <c:spPr>
          <a:ln w="6480">
            <a:solidFill>
              <a:srgbClr val="8B8B8B"/>
            </a:solidFill>
            <a:prstDash val="solid"/>
            <a:round/>
          </a:ln>
        </c:spPr>
        <c:txPr>
          <a:bodyPr/>
          <a:lstStyle/>
          <a:p>
            <a:pPr>
              <a:defRPr sz="1000" b="0" strike="noStrike" spc="-1">
                <a:solidFill>
                  <a:srgbClr val="000000"/>
                </a:solidFill>
                <a:latin typeface="Calibri"/>
                <a:ea typeface="Calibri"/>
              </a:defRPr>
            </a:pPr>
            <a:endParaRPr lang="en-US"/>
          </a:p>
        </c:txPr>
        <c:crossAx val="33802438"/>
        <c:crosses val="autoZero"/>
        <c:auto val="1"/>
        <c:lblAlgn val="ctr"/>
        <c:lblOffset val="100"/>
        <c:noMultiLvlLbl val="0"/>
      </c:catAx>
      <c:valAx>
        <c:axId val="33802438"/>
        <c:scaling>
          <c:orientation val="minMax"/>
        </c:scaling>
        <c:delete val="0"/>
        <c:axPos val="l"/>
        <c:majorGridlines>
          <c:spPr>
            <a:ln w="6480">
              <a:solidFill>
                <a:srgbClr val="8B8B8B"/>
              </a:solidFill>
              <a:prstDash val="solid"/>
              <a:round/>
            </a:ln>
          </c:spPr>
        </c:majorGridlines>
        <c:title>
          <c:tx>
            <c:rich>
              <a:bodyPr rot="-5400000"/>
              <a:lstStyle/>
              <a:p>
                <a:pPr>
                  <a:defRPr lang="en-IN" sz="1000" b="1" strike="noStrike" spc="-1">
                    <a:solidFill>
                      <a:srgbClr val="000000"/>
                    </a:solidFill>
                    <a:latin typeface="Calibri"/>
                    <a:ea typeface="Calibri"/>
                  </a:defRPr>
                </a:pPr>
                <a:r>
                  <a:rPr lang="en-IN" sz="1000" b="1" strike="noStrike" spc="-1">
                    <a:solidFill>
                      <a:srgbClr val="000000"/>
                    </a:solidFill>
                    <a:latin typeface="Calibri"/>
                    <a:ea typeface="Calibri"/>
                  </a:rPr>
                  <a:t>₹</a:t>
                </a:r>
              </a:p>
            </c:rich>
          </c:tx>
          <c:overlay val="0"/>
          <c:spPr>
            <a:noFill/>
            <a:ln w="0">
              <a:noFill/>
              <a:prstDash val="solid"/>
            </a:ln>
          </c:spPr>
        </c:title>
        <c:numFmt formatCode="General" sourceLinked="0"/>
        <c:majorTickMark val="none"/>
        <c:minorTickMark val="none"/>
        <c:tickLblPos val="nextTo"/>
        <c:spPr>
          <a:ln w="6480">
            <a:solidFill>
              <a:srgbClr val="8B8B8B"/>
            </a:solidFill>
            <a:prstDash val="solid"/>
            <a:round/>
          </a:ln>
        </c:spPr>
        <c:txPr>
          <a:bodyPr/>
          <a:lstStyle/>
          <a:p>
            <a:pPr>
              <a:defRPr sz="1000" b="0" strike="noStrike" spc="-1">
                <a:solidFill>
                  <a:srgbClr val="000000"/>
                </a:solidFill>
                <a:latin typeface="Calibri"/>
                <a:ea typeface="Calibri"/>
              </a:defRPr>
            </a:pPr>
            <a:endParaRPr lang="en-US"/>
          </a:p>
        </c:txPr>
        <c:crossAx val="12524126"/>
        <c:crosses val="autoZero"/>
        <c:crossBetween val="between"/>
      </c:valAx>
    </c:plotArea>
    <c:legend>
      <c:legendPos val="r"/>
      <c:overlay val="0"/>
      <c:spPr>
        <a:noFill/>
        <a:ln w="0">
          <a:noFill/>
          <a:prstDash val="solid"/>
        </a:ln>
      </c:spPr>
      <c:txPr>
        <a:bodyPr/>
        <a:lstStyle/>
        <a:p>
          <a:pPr>
            <a:defRPr sz="1000" b="0" strike="noStrike" spc="-1">
              <a:solidFill>
                <a:srgbClr val="000000"/>
              </a:solidFill>
              <a:latin typeface="Calibri"/>
              <a:ea typeface="Calibri"/>
            </a:defRPr>
          </a:pPr>
          <a:endParaRPr lang="en-US"/>
        </a:p>
      </c:txPr>
    </c:legend>
    <c:plotVisOnly val="1"/>
    <c:dispBlanksAs val="gap"/>
    <c:showDLblsOverMax val="1"/>
  </c:chart>
  <c:spPr>
    <a:solidFill>
      <a:srgbClr val="FFFFFF"/>
    </a:solidFill>
    <a:ln w="9360">
      <a:solidFill>
        <a:srgbClr val="D9D9D9"/>
      </a:solidFill>
      <a:prstDash val="solid"/>
      <a:round/>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a:lstStyle/>
          <a:p>
            <a:pPr>
              <a:defRPr lang="en-IN" sz="1800" b="1" strike="noStrike" spc="-1">
                <a:solidFill>
                  <a:srgbClr val="000000"/>
                </a:solidFill>
                <a:latin typeface="Calibri"/>
                <a:ea typeface="Calibri"/>
              </a:defRPr>
            </a:pPr>
            <a:r>
              <a:rPr lang="en-IN" sz="1800" b="1" strike="noStrike" spc="-1">
                <a:solidFill>
                  <a:srgbClr val="000000"/>
                </a:solidFill>
                <a:latin typeface="Calibri"/>
                <a:ea typeface="Calibri"/>
              </a:rPr>
              <a:t>Store Revenue</a:t>
            </a:r>
          </a:p>
        </c:rich>
      </c:tx>
      <c:overlay val="0"/>
      <c:spPr>
        <a:noFill/>
        <a:ln w="0">
          <a:noFill/>
          <a:prstDash val="solid"/>
        </a:ln>
      </c:spPr>
    </c:title>
    <c:autoTitleDeleted val="0"/>
    <c:plotArea>
      <c:layout/>
      <c:barChart>
        <c:barDir val="bar"/>
        <c:grouping val="clustered"/>
        <c:varyColors val="0"/>
        <c:ser>
          <c:idx val="0"/>
          <c:order val="0"/>
          <c:tx>
            <c:strRef>
              <c:f>Charts!$L$1</c:f>
              <c:strCache>
                <c:ptCount val="1"/>
                <c:pt idx="0">
                  <c:v>Revenue</c:v>
                </c:pt>
              </c:strCache>
            </c:strRef>
          </c:tx>
          <c:spPr>
            <a:solidFill>
              <a:srgbClr val="375623"/>
            </a:solidFill>
            <a:ln w="6480">
              <a:solidFill>
                <a:srgbClr val="FFFFFF"/>
              </a:solidFill>
              <a:prstDash val="solid"/>
              <a:round/>
            </a:ln>
          </c:spPr>
          <c:invertIfNegative val="0"/>
          <c:dLbls>
            <c:spPr>
              <a:noFill/>
              <a:ln>
                <a:noFill/>
              </a:ln>
              <a:effectLst/>
            </c:spPr>
            <c:txPr>
              <a:bodyPr wrap="square"/>
              <a:lstStyle/>
              <a:p>
                <a:pPr>
                  <a:defRPr sz="1000" b="0" strike="noStrike" spc="-1">
                    <a:solidFill>
                      <a:srgbClr val="000000"/>
                    </a:solidFill>
                    <a:latin typeface="Arial"/>
                    <a:ea typeface="Calibri"/>
                  </a:defRPr>
                </a:pPr>
                <a:endParaRPr lang="en-US"/>
              </a:p>
            </c:tx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Charts!$K$2:$K$4</c:f>
              <c:strCache>
                <c:ptCount val="3"/>
                <c:pt idx="0">
                  <c:v>Mumbai Central</c:v>
                </c:pt>
                <c:pt idx="1">
                  <c:v>Bengaluru MG Rd</c:v>
                </c:pt>
                <c:pt idx="2">
                  <c:v>Delhi Connaught</c:v>
                </c:pt>
              </c:strCache>
            </c:strRef>
          </c:cat>
          <c:val>
            <c:numRef>
              <c:f>Charts!$L$2:$L$4</c:f>
              <c:numCache>
                <c:formatCode>General</c:formatCode>
                <c:ptCount val="3"/>
                <c:pt idx="0">
                  <c:v>11380</c:v>
                </c:pt>
                <c:pt idx="1">
                  <c:v>15445</c:v>
                </c:pt>
                <c:pt idx="2">
                  <c:v>8670</c:v>
                </c:pt>
              </c:numCache>
            </c:numRef>
          </c:val>
          <c:extLst>
            <c:ext xmlns:c16="http://schemas.microsoft.com/office/drawing/2014/chart" uri="{C3380CC4-5D6E-409C-BE32-E72D297353CC}">
              <c16:uniqueId val="{00000000-B556-4AD9-87F2-04A8D22A8848}"/>
            </c:ext>
          </c:extLst>
        </c:ser>
        <c:dLbls>
          <c:showLegendKey val="0"/>
          <c:showVal val="0"/>
          <c:showCatName val="0"/>
          <c:showSerName val="0"/>
          <c:showPercent val="0"/>
          <c:showBubbleSize val="0"/>
        </c:dLbls>
        <c:gapWidth val="150"/>
        <c:axId val="20837788"/>
        <c:axId val="17312458"/>
      </c:barChart>
      <c:catAx>
        <c:axId val="20837788"/>
        <c:scaling>
          <c:orientation val="minMax"/>
        </c:scaling>
        <c:delete val="0"/>
        <c:axPos val="l"/>
        <c:numFmt formatCode="General" sourceLinked="0"/>
        <c:majorTickMark val="none"/>
        <c:minorTickMark val="none"/>
        <c:tickLblPos val="nextTo"/>
        <c:spPr>
          <a:ln w="6480">
            <a:solidFill>
              <a:srgbClr val="8B8B8B"/>
            </a:solidFill>
            <a:prstDash val="solid"/>
            <a:round/>
          </a:ln>
        </c:spPr>
        <c:txPr>
          <a:bodyPr/>
          <a:lstStyle/>
          <a:p>
            <a:pPr>
              <a:defRPr sz="1000" b="0" strike="noStrike" spc="-1">
                <a:solidFill>
                  <a:srgbClr val="000000"/>
                </a:solidFill>
                <a:latin typeface="Calibri"/>
                <a:ea typeface="Calibri"/>
              </a:defRPr>
            </a:pPr>
            <a:endParaRPr lang="en-US"/>
          </a:p>
        </c:txPr>
        <c:crossAx val="17312458"/>
        <c:crosses val="autoZero"/>
        <c:auto val="1"/>
        <c:lblAlgn val="ctr"/>
        <c:lblOffset val="100"/>
        <c:noMultiLvlLbl val="0"/>
      </c:catAx>
      <c:valAx>
        <c:axId val="17312458"/>
        <c:scaling>
          <c:orientation val="minMax"/>
        </c:scaling>
        <c:delete val="0"/>
        <c:axPos val="b"/>
        <c:majorGridlines>
          <c:spPr>
            <a:ln w="6480">
              <a:solidFill>
                <a:srgbClr val="8B8B8B"/>
              </a:solidFill>
              <a:prstDash val="solid"/>
              <a:round/>
            </a:ln>
          </c:spPr>
        </c:majorGridlines>
        <c:numFmt formatCode="General" sourceLinked="0"/>
        <c:majorTickMark val="none"/>
        <c:minorTickMark val="none"/>
        <c:tickLblPos val="nextTo"/>
        <c:spPr>
          <a:ln w="6480">
            <a:solidFill>
              <a:srgbClr val="8B8B8B"/>
            </a:solidFill>
            <a:prstDash val="solid"/>
            <a:round/>
          </a:ln>
        </c:spPr>
        <c:txPr>
          <a:bodyPr/>
          <a:lstStyle/>
          <a:p>
            <a:pPr>
              <a:defRPr sz="1000" b="0" strike="noStrike" spc="-1">
                <a:solidFill>
                  <a:srgbClr val="000000"/>
                </a:solidFill>
                <a:latin typeface="Calibri"/>
                <a:ea typeface="Calibri"/>
              </a:defRPr>
            </a:pPr>
            <a:endParaRPr lang="en-US"/>
          </a:p>
        </c:txPr>
        <c:crossAx val="20837788"/>
        <c:crosses val="autoZero"/>
        <c:crossBetween val="between"/>
      </c:valAx>
    </c:plotArea>
    <c:legend>
      <c:legendPos val="r"/>
      <c:overlay val="0"/>
      <c:spPr>
        <a:noFill/>
        <a:ln w="0">
          <a:noFill/>
          <a:prstDash val="solid"/>
        </a:ln>
      </c:spPr>
      <c:txPr>
        <a:bodyPr/>
        <a:lstStyle/>
        <a:p>
          <a:pPr>
            <a:defRPr sz="1000" b="0" strike="noStrike" spc="-1">
              <a:solidFill>
                <a:srgbClr val="000000"/>
              </a:solidFill>
              <a:latin typeface="Calibri"/>
              <a:ea typeface="Calibri"/>
            </a:defRPr>
          </a:pPr>
          <a:endParaRPr lang="en-US"/>
        </a:p>
      </c:txPr>
    </c:legend>
    <c:plotVisOnly val="1"/>
    <c:dispBlanksAs val="gap"/>
    <c:showDLblsOverMax val="1"/>
  </c:chart>
  <c:spPr>
    <a:solidFill>
      <a:srgbClr val="FFFFFF"/>
    </a:solidFill>
    <a:ln w="9360">
      <a:solidFill>
        <a:srgbClr val="D9D9D9"/>
      </a:solidFill>
      <a:prstDash val="solid"/>
      <a:round/>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barChart>
        <c:barDir val="col"/>
        <c:grouping val="clustered"/>
        <c:varyColors val="0"/>
        <c:ser>
          <c:idx val="0"/>
          <c:order val="0"/>
          <c:tx>
            <c:strRef>
              <c:f>PT_ByProduct!$B$5</c:f>
              <c:strCache>
                <c:ptCount val="1"/>
                <c:pt idx="0">
                  <c:v>Sum - Revenue</c:v>
                </c:pt>
              </c:strCache>
            </c:strRef>
          </c:tx>
          <c:spPr>
            <a:solidFill>
              <a:srgbClr val="004586"/>
            </a:solidFill>
            <a:ln w="0">
              <a:noFill/>
              <a:prstDash val="solid"/>
            </a:ln>
          </c:spPr>
          <c:invertIfNegative val="0"/>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PT_ByProduct!$A$6:$A$11</c:f>
              <c:strCache>
                <c:ptCount val="6"/>
                <c:pt idx="0">
                  <c:v>Folder</c:v>
                </c:pt>
                <c:pt idx="1">
                  <c:v>Marker</c:v>
                </c:pt>
                <c:pt idx="2">
                  <c:v>Notebook</c:v>
                </c:pt>
                <c:pt idx="3">
                  <c:v>Pen</c:v>
                </c:pt>
                <c:pt idx="4">
                  <c:v>Stapler</c:v>
                </c:pt>
                <c:pt idx="5">
                  <c:v>Grand Total</c:v>
                </c:pt>
              </c:strCache>
            </c:strRef>
          </c:cat>
          <c:val>
            <c:numRef>
              <c:f>PT_ByProduct!$B$6:$B$11</c:f>
              <c:numCache>
                <c:formatCode>d\-mmm</c:formatCode>
                <c:ptCount val="6"/>
                <c:pt idx="0">
                  <c:v>5900</c:v>
                </c:pt>
                <c:pt idx="1">
                  <c:v>3810</c:v>
                </c:pt>
                <c:pt idx="2">
                  <c:v>13200</c:v>
                </c:pt>
                <c:pt idx="3">
                  <c:v>2685</c:v>
                </c:pt>
                <c:pt idx="4">
                  <c:v>9900</c:v>
                </c:pt>
                <c:pt idx="5">
                  <c:v>35495</c:v>
                </c:pt>
              </c:numCache>
            </c:numRef>
          </c:val>
          <c:extLst>
            <c:ext xmlns:c16="http://schemas.microsoft.com/office/drawing/2014/chart" uri="{C3380CC4-5D6E-409C-BE32-E72D297353CC}">
              <c16:uniqueId val="{00000000-06CA-4271-9BF3-FCD520073938}"/>
            </c:ext>
          </c:extLst>
        </c:ser>
        <c:dLbls>
          <c:showLegendKey val="0"/>
          <c:showVal val="0"/>
          <c:showCatName val="0"/>
          <c:showSerName val="0"/>
          <c:showPercent val="0"/>
          <c:showBubbleSize val="0"/>
        </c:dLbls>
        <c:gapWidth val="100"/>
        <c:axId val="34054287"/>
        <c:axId val="77019237"/>
      </c:barChart>
      <c:catAx>
        <c:axId val="34054287"/>
        <c:scaling>
          <c:orientation val="minMax"/>
        </c:scaling>
        <c:delete val="0"/>
        <c:axPos val="b"/>
        <c:numFmt formatCode="General" sourceLinked="1"/>
        <c:majorTickMark val="out"/>
        <c:minorTickMark val="none"/>
        <c:tickLblPos val="nextTo"/>
        <c:spPr>
          <a:ln w="0">
            <a:solidFill>
              <a:srgbClr val="B3B3B3"/>
            </a:solidFill>
            <a:prstDash val="solid"/>
          </a:ln>
        </c:spPr>
        <c:txPr>
          <a:bodyPr/>
          <a:lstStyle/>
          <a:p>
            <a:pPr>
              <a:defRPr sz="1000" b="0" strike="noStrike" spc="-1">
                <a:latin typeface="Arial"/>
              </a:defRPr>
            </a:pPr>
            <a:endParaRPr lang="en-US"/>
          </a:p>
        </c:txPr>
        <c:crossAx val="77019237"/>
        <c:crosses val="autoZero"/>
        <c:auto val="1"/>
        <c:lblAlgn val="ctr"/>
        <c:lblOffset val="100"/>
        <c:noMultiLvlLbl val="0"/>
      </c:catAx>
      <c:valAx>
        <c:axId val="77019237"/>
        <c:scaling>
          <c:orientation val="minMax"/>
        </c:scaling>
        <c:delete val="0"/>
        <c:axPos val="l"/>
        <c:majorGridlines>
          <c:spPr>
            <a:ln w="0">
              <a:solidFill>
                <a:srgbClr val="B3B3B3"/>
              </a:solidFill>
              <a:prstDash val="solid"/>
            </a:ln>
          </c:spPr>
        </c:majorGridlines>
        <c:numFmt formatCode="d\-mmm" sourceLinked="1"/>
        <c:majorTickMark val="out"/>
        <c:minorTickMark val="none"/>
        <c:tickLblPos val="nextTo"/>
        <c:spPr>
          <a:ln w="0">
            <a:solidFill>
              <a:srgbClr val="B3B3B3"/>
            </a:solidFill>
            <a:prstDash val="solid"/>
          </a:ln>
        </c:spPr>
        <c:txPr>
          <a:bodyPr/>
          <a:lstStyle/>
          <a:p>
            <a:pPr>
              <a:defRPr sz="1000" b="0" strike="noStrike" spc="-1">
                <a:latin typeface="Arial"/>
              </a:defRPr>
            </a:pPr>
            <a:endParaRPr lang="en-US"/>
          </a:p>
        </c:txPr>
        <c:crossAx val="34054287"/>
        <c:crosses val="autoZero"/>
        <c:crossBetween val="between"/>
      </c:valAx>
    </c:plotArea>
    <c:plotVisOnly val="0"/>
    <c:dispBlanksAs val="gap"/>
    <c:showDLblsOverMax val="1"/>
  </c:chart>
  <c:spPr>
    <a:solidFill>
      <a:srgbClr val="FFFFFF"/>
    </a:solidFill>
    <a:ln w="0">
      <a:noFill/>
      <a:prstDash val="solid"/>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barChart>
        <c:barDir val="col"/>
        <c:grouping val="clustered"/>
        <c:varyColors val="0"/>
        <c:ser>
          <c:idx val="0"/>
          <c:order val="0"/>
          <c:tx>
            <c:strRef>
              <c:f>PT_ByRegion!$B$5</c:f>
              <c:strCache>
                <c:ptCount val="1"/>
                <c:pt idx="0">
                  <c:v>Sum - Revenue</c:v>
                </c:pt>
              </c:strCache>
            </c:strRef>
          </c:tx>
          <c:spPr>
            <a:solidFill>
              <a:srgbClr val="004586"/>
            </a:solidFill>
            <a:ln w="0">
              <a:noFill/>
              <a:prstDash val="solid"/>
            </a:ln>
          </c:spPr>
          <c:invertIfNegative val="0"/>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PT_ByRegion!$A$6:$A$9</c:f>
              <c:strCache>
                <c:ptCount val="4"/>
                <c:pt idx="0">
                  <c:v>North</c:v>
                </c:pt>
                <c:pt idx="1">
                  <c:v>South</c:v>
                </c:pt>
                <c:pt idx="2">
                  <c:v>West</c:v>
                </c:pt>
                <c:pt idx="3">
                  <c:v>Grand Total</c:v>
                </c:pt>
              </c:strCache>
            </c:strRef>
          </c:cat>
          <c:val>
            <c:numRef>
              <c:f>PT_ByRegion!$B$6:$B$9</c:f>
              <c:numCache>
                <c:formatCode>d\-mmm</c:formatCode>
                <c:ptCount val="4"/>
                <c:pt idx="0">
                  <c:v>8670</c:v>
                </c:pt>
                <c:pt idx="1">
                  <c:v>15445</c:v>
                </c:pt>
                <c:pt idx="2">
                  <c:v>11380</c:v>
                </c:pt>
                <c:pt idx="3">
                  <c:v>35495</c:v>
                </c:pt>
              </c:numCache>
            </c:numRef>
          </c:val>
          <c:extLst>
            <c:ext xmlns:c16="http://schemas.microsoft.com/office/drawing/2014/chart" uri="{C3380CC4-5D6E-409C-BE32-E72D297353CC}">
              <c16:uniqueId val="{00000000-9E05-49E6-AC08-C3E64172DD10}"/>
            </c:ext>
          </c:extLst>
        </c:ser>
        <c:dLbls>
          <c:showLegendKey val="0"/>
          <c:showVal val="0"/>
          <c:showCatName val="0"/>
          <c:showSerName val="0"/>
          <c:showPercent val="0"/>
          <c:showBubbleSize val="0"/>
        </c:dLbls>
        <c:gapWidth val="100"/>
        <c:axId val="32561612"/>
        <c:axId val="53592687"/>
      </c:barChart>
      <c:catAx>
        <c:axId val="32561612"/>
        <c:scaling>
          <c:orientation val="minMax"/>
        </c:scaling>
        <c:delete val="0"/>
        <c:axPos val="b"/>
        <c:numFmt formatCode="General" sourceLinked="1"/>
        <c:majorTickMark val="out"/>
        <c:minorTickMark val="none"/>
        <c:tickLblPos val="nextTo"/>
        <c:spPr>
          <a:ln w="0">
            <a:solidFill>
              <a:srgbClr val="B3B3B3"/>
            </a:solidFill>
            <a:prstDash val="solid"/>
          </a:ln>
        </c:spPr>
        <c:txPr>
          <a:bodyPr/>
          <a:lstStyle/>
          <a:p>
            <a:pPr>
              <a:defRPr sz="1000" b="0" strike="noStrike" spc="-1">
                <a:latin typeface="Arial"/>
              </a:defRPr>
            </a:pPr>
            <a:endParaRPr lang="en-US"/>
          </a:p>
        </c:txPr>
        <c:crossAx val="53592687"/>
        <c:crosses val="autoZero"/>
        <c:auto val="1"/>
        <c:lblAlgn val="ctr"/>
        <c:lblOffset val="100"/>
        <c:noMultiLvlLbl val="0"/>
      </c:catAx>
      <c:valAx>
        <c:axId val="53592687"/>
        <c:scaling>
          <c:orientation val="minMax"/>
        </c:scaling>
        <c:delete val="0"/>
        <c:axPos val="l"/>
        <c:majorGridlines>
          <c:spPr>
            <a:ln w="0">
              <a:solidFill>
                <a:srgbClr val="B3B3B3"/>
              </a:solidFill>
              <a:prstDash val="solid"/>
            </a:ln>
          </c:spPr>
        </c:majorGridlines>
        <c:numFmt formatCode="d\-mmm" sourceLinked="1"/>
        <c:majorTickMark val="out"/>
        <c:minorTickMark val="none"/>
        <c:tickLblPos val="nextTo"/>
        <c:spPr>
          <a:ln w="0">
            <a:solidFill>
              <a:srgbClr val="B3B3B3"/>
            </a:solidFill>
            <a:prstDash val="solid"/>
          </a:ln>
        </c:spPr>
        <c:txPr>
          <a:bodyPr/>
          <a:lstStyle/>
          <a:p>
            <a:pPr>
              <a:defRPr sz="1000" b="0" strike="noStrike" spc="-1">
                <a:latin typeface="Arial"/>
              </a:defRPr>
            </a:pPr>
            <a:endParaRPr lang="en-US"/>
          </a:p>
        </c:txPr>
        <c:crossAx val="32561612"/>
        <c:crosses val="autoZero"/>
        <c:crossBetween val="between"/>
      </c:valAx>
    </c:plotArea>
    <c:plotVisOnly val="0"/>
    <c:dispBlanksAs val="gap"/>
    <c:showDLblsOverMax val="1"/>
  </c:chart>
  <c:spPr>
    <a:solidFill>
      <a:srgbClr val="FFFFFF"/>
    </a:solidFill>
    <a:ln w="0">
      <a:noFill/>
      <a:prstDash val="solid"/>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barChart>
        <c:barDir val="col"/>
        <c:grouping val="clustered"/>
        <c:varyColors val="0"/>
        <c:ser>
          <c:idx val="0"/>
          <c:order val="0"/>
          <c:tx>
            <c:strRef>
              <c:f>PT_ByStore!$B$5</c:f>
              <c:strCache>
                <c:ptCount val="1"/>
                <c:pt idx="0">
                  <c:v>Sum - Revenue</c:v>
                </c:pt>
              </c:strCache>
            </c:strRef>
          </c:tx>
          <c:spPr>
            <a:solidFill>
              <a:srgbClr val="004586"/>
            </a:solidFill>
            <a:ln w="0">
              <a:noFill/>
              <a:prstDash val="solid"/>
            </a:ln>
          </c:spPr>
          <c:invertIfNegative val="0"/>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PT_ByStore!$A$6:$A$9</c:f>
              <c:strCache>
                <c:ptCount val="4"/>
                <c:pt idx="0">
                  <c:v>Bengaluru MG Rd</c:v>
                </c:pt>
                <c:pt idx="1">
                  <c:v>Delhi Connaught</c:v>
                </c:pt>
                <c:pt idx="2">
                  <c:v>Mumbai Central</c:v>
                </c:pt>
                <c:pt idx="3">
                  <c:v>Grand Total</c:v>
                </c:pt>
              </c:strCache>
            </c:strRef>
          </c:cat>
          <c:val>
            <c:numRef>
              <c:f>PT_ByStore!$B$6:$B$9</c:f>
              <c:numCache>
                <c:formatCode>d\-mmm</c:formatCode>
                <c:ptCount val="4"/>
                <c:pt idx="0">
                  <c:v>15445</c:v>
                </c:pt>
                <c:pt idx="1">
                  <c:v>8670</c:v>
                </c:pt>
                <c:pt idx="2">
                  <c:v>11380</c:v>
                </c:pt>
                <c:pt idx="3">
                  <c:v>35495</c:v>
                </c:pt>
              </c:numCache>
            </c:numRef>
          </c:val>
          <c:extLst>
            <c:ext xmlns:c16="http://schemas.microsoft.com/office/drawing/2014/chart" uri="{C3380CC4-5D6E-409C-BE32-E72D297353CC}">
              <c16:uniqueId val="{00000000-480D-4356-A3AF-66F9CB68965A}"/>
            </c:ext>
          </c:extLst>
        </c:ser>
        <c:dLbls>
          <c:showLegendKey val="0"/>
          <c:showVal val="0"/>
          <c:showCatName val="0"/>
          <c:showSerName val="0"/>
          <c:showPercent val="0"/>
          <c:showBubbleSize val="0"/>
        </c:dLbls>
        <c:gapWidth val="100"/>
        <c:axId val="14695136"/>
        <c:axId val="53564460"/>
      </c:barChart>
      <c:catAx>
        <c:axId val="14695136"/>
        <c:scaling>
          <c:orientation val="minMax"/>
        </c:scaling>
        <c:delete val="0"/>
        <c:axPos val="b"/>
        <c:numFmt formatCode="General" sourceLinked="1"/>
        <c:majorTickMark val="out"/>
        <c:minorTickMark val="none"/>
        <c:tickLblPos val="nextTo"/>
        <c:spPr>
          <a:ln w="0">
            <a:solidFill>
              <a:srgbClr val="B3B3B3"/>
            </a:solidFill>
            <a:prstDash val="solid"/>
          </a:ln>
        </c:spPr>
        <c:txPr>
          <a:bodyPr/>
          <a:lstStyle/>
          <a:p>
            <a:pPr>
              <a:defRPr sz="1000" b="0" strike="noStrike" spc="-1">
                <a:latin typeface="Arial"/>
              </a:defRPr>
            </a:pPr>
            <a:endParaRPr lang="en-US"/>
          </a:p>
        </c:txPr>
        <c:crossAx val="53564460"/>
        <c:crosses val="autoZero"/>
        <c:auto val="1"/>
        <c:lblAlgn val="ctr"/>
        <c:lblOffset val="100"/>
        <c:noMultiLvlLbl val="0"/>
      </c:catAx>
      <c:valAx>
        <c:axId val="53564460"/>
        <c:scaling>
          <c:orientation val="minMax"/>
        </c:scaling>
        <c:delete val="0"/>
        <c:axPos val="l"/>
        <c:majorGridlines>
          <c:spPr>
            <a:ln w="0">
              <a:solidFill>
                <a:srgbClr val="B3B3B3"/>
              </a:solidFill>
              <a:prstDash val="solid"/>
            </a:ln>
          </c:spPr>
        </c:majorGridlines>
        <c:numFmt formatCode="d\-mmm" sourceLinked="1"/>
        <c:majorTickMark val="out"/>
        <c:minorTickMark val="none"/>
        <c:tickLblPos val="nextTo"/>
        <c:spPr>
          <a:ln w="0">
            <a:solidFill>
              <a:srgbClr val="B3B3B3"/>
            </a:solidFill>
            <a:prstDash val="solid"/>
          </a:ln>
        </c:spPr>
        <c:txPr>
          <a:bodyPr/>
          <a:lstStyle/>
          <a:p>
            <a:pPr>
              <a:defRPr sz="1000" b="0" strike="noStrike" spc="-1">
                <a:latin typeface="Arial"/>
              </a:defRPr>
            </a:pPr>
            <a:endParaRPr lang="en-US"/>
          </a:p>
        </c:txPr>
        <c:crossAx val="14695136"/>
        <c:crosses val="autoZero"/>
        <c:crossBetween val="between"/>
      </c:valAx>
    </c:plotArea>
    <c:plotVisOnly val="0"/>
    <c:dispBlanksAs val="gap"/>
    <c:showDLblsOverMax val="1"/>
  </c:chart>
  <c:spPr>
    <a:solidFill>
      <a:srgbClr val="FFFFFF"/>
    </a:solidFill>
    <a:ln w="0">
      <a:noFill/>
      <a:prstDash val="solid"/>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barChart>
        <c:barDir val="col"/>
        <c:grouping val="clustered"/>
        <c:varyColors val="0"/>
        <c:ser>
          <c:idx val="0"/>
          <c:order val="0"/>
          <c:tx>
            <c:strRef>
              <c:f>PT_ByDate!$B$5</c:f>
              <c:strCache>
                <c:ptCount val="1"/>
                <c:pt idx="0">
                  <c:v>Sum - Revenue</c:v>
                </c:pt>
              </c:strCache>
            </c:strRef>
          </c:tx>
          <c:spPr>
            <a:solidFill>
              <a:srgbClr val="004586"/>
            </a:solidFill>
            <a:ln w="0">
              <a:noFill/>
              <a:prstDash val="solid"/>
            </a:ln>
          </c:spPr>
          <c:invertIfNegative val="0"/>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PT_ByDate!$A$6:$A$16</c:f>
              <c:strCache>
                <c:ptCount val="11"/>
                <c:pt idx="0">
                  <c:v>01-07-2025</c:v>
                </c:pt>
                <c:pt idx="1">
                  <c:v>02-07-2025</c:v>
                </c:pt>
                <c:pt idx="2">
                  <c:v>03-07-2025</c:v>
                </c:pt>
                <c:pt idx="3">
                  <c:v>04-07-2025</c:v>
                </c:pt>
                <c:pt idx="4">
                  <c:v>05-07-2025</c:v>
                </c:pt>
                <c:pt idx="5">
                  <c:v>06-07-2025</c:v>
                </c:pt>
                <c:pt idx="6">
                  <c:v>07-07-2025</c:v>
                </c:pt>
                <c:pt idx="7">
                  <c:v>08-07-2025</c:v>
                </c:pt>
                <c:pt idx="8">
                  <c:v>09-07-2025</c:v>
                </c:pt>
                <c:pt idx="9">
                  <c:v>10-07-2025</c:v>
                </c:pt>
                <c:pt idx="10">
                  <c:v>Grand Total</c:v>
                </c:pt>
              </c:strCache>
            </c:strRef>
          </c:cat>
          <c:val>
            <c:numRef>
              <c:f>PT_ByDate!$B$6:$B$16</c:f>
              <c:numCache>
                <c:formatCode>d\-mmm</c:formatCode>
                <c:ptCount val="11"/>
                <c:pt idx="0">
                  <c:v>1965</c:v>
                </c:pt>
                <c:pt idx="1">
                  <c:v>2420</c:v>
                </c:pt>
                <c:pt idx="2">
                  <c:v>2910</c:v>
                </c:pt>
                <c:pt idx="3">
                  <c:v>900</c:v>
                </c:pt>
                <c:pt idx="4">
                  <c:v>2570</c:v>
                </c:pt>
                <c:pt idx="5">
                  <c:v>4020</c:v>
                </c:pt>
                <c:pt idx="6">
                  <c:v>4760</c:v>
                </c:pt>
                <c:pt idx="7">
                  <c:v>6550</c:v>
                </c:pt>
                <c:pt idx="8">
                  <c:v>3150</c:v>
                </c:pt>
                <c:pt idx="9">
                  <c:v>6250</c:v>
                </c:pt>
                <c:pt idx="10">
                  <c:v>35495</c:v>
                </c:pt>
              </c:numCache>
            </c:numRef>
          </c:val>
          <c:extLst>
            <c:ext xmlns:c16="http://schemas.microsoft.com/office/drawing/2014/chart" uri="{C3380CC4-5D6E-409C-BE32-E72D297353CC}">
              <c16:uniqueId val="{00000000-F626-4927-88E1-0B1CFD946ED8}"/>
            </c:ext>
          </c:extLst>
        </c:ser>
        <c:dLbls>
          <c:showLegendKey val="0"/>
          <c:showVal val="0"/>
          <c:showCatName val="0"/>
          <c:showSerName val="0"/>
          <c:showPercent val="0"/>
          <c:showBubbleSize val="0"/>
        </c:dLbls>
        <c:gapWidth val="100"/>
        <c:axId val="57714768"/>
        <c:axId val="79504670"/>
      </c:barChart>
      <c:catAx>
        <c:axId val="57714768"/>
        <c:scaling>
          <c:orientation val="minMax"/>
        </c:scaling>
        <c:delete val="0"/>
        <c:axPos val="b"/>
        <c:numFmt formatCode="General" sourceLinked="1"/>
        <c:majorTickMark val="out"/>
        <c:minorTickMark val="none"/>
        <c:tickLblPos val="nextTo"/>
        <c:spPr>
          <a:ln w="0">
            <a:solidFill>
              <a:srgbClr val="B3B3B3"/>
            </a:solidFill>
            <a:prstDash val="solid"/>
          </a:ln>
        </c:spPr>
        <c:txPr>
          <a:bodyPr/>
          <a:lstStyle/>
          <a:p>
            <a:pPr>
              <a:defRPr sz="1000" b="0" strike="noStrike" spc="-1">
                <a:latin typeface="Arial"/>
              </a:defRPr>
            </a:pPr>
            <a:endParaRPr lang="en-US"/>
          </a:p>
        </c:txPr>
        <c:crossAx val="79504670"/>
        <c:crosses val="autoZero"/>
        <c:auto val="1"/>
        <c:lblAlgn val="ctr"/>
        <c:lblOffset val="100"/>
        <c:noMultiLvlLbl val="0"/>
      </c:catAx>
      <c:valAx>
        <c:axId val="79504670"/>
        <c:scaling>
          <c:orientation val="minMax"/>
        </c:scaling>
        <c:delete val="0"/>
        <c:axPos val="l"/>
        <c:majorGridlines>
          <c:spPr>
            <a:ln w="0">
              <a:solidFill>
                <a:srgbClr val="B3B3B3"/>
              </a:solidFill>
              <a:prstDash val="solid"/>
            </a:ln>
          </c:spPr>
        </c:majorGridlines>
        <c:numFmt formatCode="d\-mmm" sourceLinked="1"/>
        <c:majorTickMark val="out"/>
        <c:minorTickMark val="none"/>
        <c:tickLblPos val="nextTo"/>
        <c:spPr>
          <a:ln w="0">
            <a:solidFill>
              <a:srgbClr val="B3B3B3"/>
            </a:solidFill>
            <a:prstDash val="solid"/>
          </a:ln>
        </c:spPr>
        <c:txPr>
          <a:bodyPr/>
          <a:lstStyle/>
          <a:p>
            <a:pPr>
              <a:defRPr sz="1000" b="0" strike="noStrike" spc="-1">
                <a:latin typeface="Arial"/>
              </a:defRPr>
            </a:pPr>
            <a:endParaRPr lang="en-US"/>
          </a:p>
        </c:txPr>
        <c:crossAx val="57714768"/>
        <c:crosses val="autoZero"/>
        <c:crossBetween val="between"/>
      </c:valAx>
    </c:plotArea>
    <c:plotVisOnly val="0"/>
    <c:dispBlanksAs val="gap"/>
    <c:showDLblsOverMax val="1"/>
  </c:chart>
  <c:spPr>
    <a:solidFill>
      <a:srgbClr val="FFFFFF"/>
    </a:solidFill>
    <a:ln w="0">
      <a:noFill/>
      <a:prstDash val="solid"/>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a:lstStyle/>
          <a:p>
            <a:pPr>
              <a:defRPr lang="en-IN" sz="1800" b="1" strike="noStrike" spc="-1">
                <a:solidFill>
                  <a:srgbClr val="000000"/>
                </a:solidFill>
                <a:latin typeface="Calibri"/>
                <a:ea typeface="Calibri"/>
              </a:defRPr>
            </a:pPr>
            <a:r>
              <a:rPr lang="en-IN" sz="1800" b="1" strike="noStrike" spc="-1">
                <a:solidFill>
                  <a:srgbClr val="000000"/>
                </a:solidFill>
                <a:latin typeface="Calibri"/>
                <a:ea typeface="Calibri"/>
              </a:rPr>
              <a:t>Revenue by Product (₹)</a:t>
            </a:r>
          </a:p>
        </c:rich>
      </c:tx>
      <c:overlay val="0"/>
      <c:spPr>
        <a:noFill/>
        <a:ln w="0">
          <a:noFill/>
          <a:prstDash val="solid"/>
        </a:ln>
      </c:spPr>
    </c:title>
    <c:autoTitleDeleted val="0"/>
    <c:plotArea>
      <c:layout/>
      <c:barChart>
        <c:barDir val="col"/>
        <c:grouping val="clustered"/>
        <c:varyColors val="0"/>
        <c:ser>
          <c:idx val="0"/>
          <c:order val="0"/>
          <c:tx>
            <c:strRef>
              <c:f>Charts!$B$1</c:f>
              <c:strCache>
                <c:ptCount val="1"/>
                <c:pt idx="0">
                  <c:v>Revenue (₹)</c:v>
                </c:pt>
              </c:strCache>
            </c:strRef>
          </c:tx>
          <c:spPr>
            <a:solidFill>
              <a:srgbClr val="2E75B6"/>
            </a:solidFill>
            <a:ln w="6480">
              <a:solidFill>
                <a:srgbClr val="FFFFFF"/>
              </a:solidFill>
              <a:prstDash val="solid"/>
              <a:round/>
            </a:ln>
          </c:spPr>
          <c:invertIfNegative val="0"/>
          <c:dLbls>
            <c:spPr>
              <a:noFill/>
              <a:ln>
                <a:noFill/>
              </a:ln>
              <a:effectLst/>
            </c:spPr>
            <c:txPr>
              <a:bodyPr wrap="square"/>
              <a:lstStyle/>
              <a:p>
                <a:pPr>
                  <a:defRPr sz="1000" b="0" strike="noStrike" spc="-1">
                    <a:solidFill>
                      <a:srgbClr val="000000"/>
                    </a:solidFill>
                    <a:latin typeface="Arial"/>
                    <a:ea typeface="Calibri"/>
                  </a:defRPr>
                </a:pPr>
                <a:endParaRPr lang="en-US"/>
              </a:p>
            </c:tx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Charts!$A$2:$A$6</c:f>
              <c:strCache>
                <c:ptCount val="5"/>
                <c:pt idx="0">
                  <c:v>Notebook</c:v>
                </c:pt>
                <c:pt idx="1">
                  <c:v>Stapler</c:v>
                </c:pt>
                <c:pt idx="2">
                  <c:v>Folder</c:v>
                </c:pt>
                <c:pt idx="3">
                  <c:v>Marker</c:v>
                </c:pt>
                <c:pt idx="4">
                  <c:v>Pen</c:v>
                </c:pt>
              </c:strCache>
            </c:strRef>
          </c:cat>
          <c:val>
            <c:numRef>
              <c:f>Charts!$B$2:$B$6</c:f>
              <c:numCache>
                <c:formatCode>General</c:formatCode>
                <c:ptCount val="5"/>
                <c:pt idx="0">
                  <c:v>13200</c:v>
                </c:pt>
                <c:pt idx="1">
                  <c:v>9900</c:v>
                </c:pt>
                <c:pt idx="2">
                  <c:v>5900</c:v>
                </c:pt>
                <c:pt idx="3">
                  <c:v>3810</c:v>
                </c:pt>
                <c:pt idx="4">
                  <c:v>2685</c:v>
                </c:pt>
              </c:numCache>
            </c:numRef>
          </c:val>
          <c:extLst>
            <c:ext xmlns:c16="http://schemas.microsoft.com/office/drawing/2014/chart" uri="{C3380CC4-5D6E-409C-BE32-E72D297353CC}">
              <c16:uniqueId val="{00000000-88CF-46F4-816D-BB9B110F1F2F}"/>
            </c:ext>
          </c:extLst>
        </c:ser>
        <c:dLbls>
          <c:showLegendKey val="0"/>
          <c:showVal val="0"/>
          <c:showCatName val="0"/>
          <c:showSerName val="0"/>
          <c:showPercent val="0"/>
          <c:showBubbleSize val="0"/>
        </c:dLbls>
        <c:gapWidth val="150"/>
        <c:axId val="62262312"/>
        <c:axId val="57961768"/>
      </c:barChart>
      <c:catAx>
        <c:axId val="62262312"/>
        <c:scaling>
          <c:orientation val="minMax"/>
        </c:scaling>
        <c:delete val="0"/>
        <c:axPos val="b"/>
        <c:title>
          <c:tx>
            <c:rich>
              <a:bodyPr rot="0"/>
              <a:lstStyle/>
              <a:p>
                <a:pPr>
                  <a:defRPr lang="en-IN" sz="1000" b="1" strike="noStrike" spc="-1">
                    <a:solidFill>
                      <a:srgbClr val="000000"/>
                    </a:solidFill>
                    <a:latin typeface="Calibri"/>
                    <a:ea typeface="Calibri"/>
                  </a:defRPr>
                </a:pPr>
                <a:r>
                  <a:rPr lang="en-IN" sz="1000" b="1" strike="noStrike" spc="-1">
                    <a:solidFill>
                      <a:srgbClr val="000000"/>
                    </a:solidFill>
                    <a:latin typeface="Calibri"/>
                    <a:ea typeface="Calibri"/>
                  </a:rPr>
                  <a:t>Product</a:t>
                </a:r>
              </a:p>
            </c:rich>
          </c:tx>
          <c:overlay val="0"/>
          <c:spPr>
            <a:noFill/>
            <a:ln w="0">
              <a:noFill/>
              <a:prstDash val="solid"/>
            </a:ln>
          </c:spPr>
        </c:title>
        <c:numFmt formatCode="General" sourceLinked="0"/>
        <c:majorTickMark val="none"/>
        <c:minorTickMark val="none"/>
        <c:tickLblPos val="nextTo"/>
        <c:spPr>
          <a:ln w="6480">
            <a:solidFill>
              <a:srgbClr val="8B8B8B"/>
            </a:solidFill>
            <a:prstDash val="solid"/>
            <a:round/>
          </a:ln>
        </c:spPr>
        <c:txPr>
          <a:bodyPr/>
          <a:lstStyle/>
          <a:p>
            <a:pPr>
              <a:defRPr sz="1000" b="0" strike="noStrike" spc="-1">
                <a:solidFill>
                  <a:srgbClr val="000000"/>
                </a:solidFill>
                <a:latin typeface="Calibri"/>
                <a:ea typeface="Calibri"/>
              </a:defRPr>
            </a:pPr>
            <a:endParaRPr lang="en-US"/>
          </a:p>
        </c:txPr>
        <c:crossAx val="57961768"/>
        <c:crosses val="autoZero"/>
        <c:auto val="1"/>
        <c:lblAlgn val="ctr"/>
        <c:lblOffset val="100"/>
        <c:noMultiLvlLbl val="0"/>
      </c:catAx>
      <c:valAx>
        <c:axId val="57961768"/>
        <c:scaling>
          <c:orientation val="minMax"/>
        </c:scaling>
        <c:delete val="0"/>
        <c:axPos val="l"/>
        <c:majorGridlines>
          <c:spPr>
            <a:ln w="6480">
              <a:solidFill>
                <a:srgbClr val="8B8B8B"/>
              </a:solidFill>
              <a:prstDash val="solid"/>
              <a:round/>
            </a:ln>
          </c:spPr>
        </c:majorGridlines>
        <c:title>
          <c:tx>
            <c:rich>
              <a:bodyPr rot="-5400000"/>
              <a:lstStyle/>
              <a:p>
                <a:pPr>
                  <a:defRPr lang="en-IN" sz="1000" b="1" strike="noStrike" spc="-1">
                    <a:solidFill>
                      <a:srgbClr val="000000"/>
                    </a:solidFill>
                    <a:latin typeface="Calibri"/>
                    <a:ea typeface="Calibri"/>
                  </a:defRPr>
                </a:pPr>
                <a:r>
                  <a:rPr lang="en-IN" sz="1000" b="1" strike="noStrike" spc="-1">
                    <a:solidFill>
                      <a:srgbClr val="000000"/>
                    </a:solidFill>
                    <a:latin typeface="Calibri"/>
                    <a:ea typeface="Calibri"/>
                  </a:rPr>
                  <a:t>Revenue (₹)</a:t>
                </a:r>
              </a:p>
            </c:rich>
          </c:tx>
          <c:overlay val="0"/>
          <c:spPr>
            <a:noFill/>
            <a:ln w="0">
              <a:noFill/>
              <a:prstDash val="solid"/>
            </a:ln>
          </c:spPr>
        </c:title>
        <c:numFmt formatCode="General" sourceLinked="0"/>
        <c:majorTickMark val="none"/>
        <c:minorTickMark val="none"/>
        <c:tickLblPos val="nextTo"/>
        <c:spPr>
          <a:ln w="6480">
            <a:solidFill>
              <a:srgbClr val="8B8B8B"/>
            </a:solidFill>
            <a:prstDash val="solid"/>
            <a:round/>
          </a:ln>
        </c:spPr>
        <c:txPr>
          <a:bodyPr/>
          <a:lstStyle/>
          <a:p>
            <a:pPr>
              <a:defRPr sz="1000" b="0" strike="noStrike" spc="-1">
                <a:solidFill>
                  <a:srgbClr val="000000"/>
                </a:solidFill>
                <a:latin typeface="Calibri"/>
                <a:ea typeface="Calibri"/>
              </a:defRPr>
            </a:pPr>
            <a:endParaRPr lang="en-US"/>
          </a:p>
        </c:txPr>
        <c:crossAx val="62262312"/>
        <c:crosses val="autoZero"/>
        <c:crossBetween val="between"/>
      </c:valAx>
    </c:plotArea>
    <c:legend>
      <c:legendPos val="r"/>
      <c:overlay val="0"/>
      <c:spPr>
        <a:noFill/>
        <a:ln w="0">
          <a:noFill/>
          <a:prstDash val="solid"/>
        </a:ln>
      </c:spPr>
      <c:txPr>
        <a:bodyPr/>
        <a:lstStyle/>
        <a:p>
          <a:pPr>
            <a:defRPr sz="1000" b="0" strike="noStrike" spc="-1">
              <a:solidFill>
                <a:srgbClr val="000000"/>
              </a:solidFill>
              <a:latin typeface="Calibri"/>
              <a:ea typeface="Calibri"/>
            </a:defRPr>
          </a:pPr>
          <a:endParaRPr lang="en-US"/>
        </a:p>
      </c:txPr>
    </c:legend>
    <c:plotVisOnly val="1"/>
    <c:dispBlanksAs val="gap"/>
    <c:showDLblsOverMax val="1"/>
  </c:chart>
  <c:spPr>
    <a:solidFill>
      <a:srgbClr val="FFFFFF"/>
    </a:solidFill>
    <a:ln w="9360">
      <a:solidFill>
        <a:srgbClr val="D9D9D9"/>
      </a:solidFill>
      <a:prstDash val="solid"/>
      <a:round/>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a:lstStyle/>
          <a:p>
            <a:pPr>
              <a:defRPr lang="en-IN" sz="1800" b="1" strike="noStrike" spc="-1">
                <a:solidFill>
                  <a:srgbClr val="000000"/>
                </a:solidFill>
                <a:latin typeface="Calibri"/>
                <a:ea typeface="Calibri"/>
              </a:defRPr>
            </a:pPr>
            <a:r>
              <a:rPr lang="en-IN" sz="1800" b="1" strike="noStrike" spc="-1">
                <a:solidFill>
                  <a:srgbClr val="000000"/>
                </a:solidFill>
                <a:latin typeface="Calibri"/>
                <a:ea typeface="Calibri"/>
              </a:rPr>
              <a:t>Store-wise Revenue Comparison</a:t>
            </a:r>
          </a:p>
        </c:rich>
      </c:tx>
      <c:layout>
        <c:manualLayout>
          <c:xMode val="edge"/>
          <c:yMode val="edge"/>
          <c:x val="0.23687343731396601"/>
          <c:y val="1.25648009840963E-2"/>
        </c:manualLayout>
      </c:layout>
      <c:overlay val="0"/>
      <c:spPr>
        <a:noFill/>
        <a:ln w="0">
          <a:noFill/>
          <a:prstDash val="solid"/>
        </a:ln>
      </c:spPr>
    </c:title>
    <c:autoTitleDeleted val="0"/>
    <c:plotArea>
      <c:layout/>
      <c:barChart>
        <c:barDir val="bar"/>
        <c:grouping val="clustered"/>
        <c:varyColors val="0"/>
        <c:ser>
          <c:idx val="0"/>
          <c:order val="0"/>
          <c:tx>
            <c:strRef>
              <c:f>Charts!$L$1</c:f>
              <c:strCache>
                <c:ptCount val="1"/>
                <c:pt idx="0">
                  <c:v>Revenue</c:v>
                </c:pt>
              </c:strCache>
            </c:strRef>
          </c:tx>
          <c:spPr>
            <a:solidFill>
              <a:srgbClr val="375623"/>
            </a:solidFill>
            <a:ln w="6480">
              <a:solidFill>
                <a:srgbClr val="FFFFFF"/>
              </a:solidFill>
              <a:prstDash val="solid"/>
              <a:round/>
            </a:ln>
          </c:spPr>
          <c:invertIfNegative val="0"/>
          <c:dLbls>
            <c:spPr>
              <a:noFill/>
              <a:ln>
                <a:noFill/>
              </a:ln>
              <a:effectLst/>
            </c:spPr>
            <c:txPr>
              <a:bodyPr wrap="square"/>
              <a:lstStyle/>
              <a:p>
                <a:pPr>
                  <a:defRPr sz="1000" b="0" strike="noStrike" spc="-1">
                    <a:solidFill>
                      <a:srgbClr val="000000"/>
                    </a:solidFill>
                    <a:latin typeface="Arial"/>
                    <a:ea typeface="Calibri"/>
                  </a:defRPr>
                </a:pPr>
                <a:endParaRPr lang="en-US"/>
              </a:p>
            </c:tx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Charts!$K$2:$K$4</c:f>
              <c:strCache>
                <c:ptCount val="3"/>
                <c:pt idx="0">
                  <c:v>Mumbai Central</c:v>
                </c:pt>
                <c:pt idx="1">
                  <c:v>Bengaluru MG Rd</c:v>
                </c:pt>
                <c:pt idx="2">
                  <c:v>Delhi Connaught</c:v>
                </c:pt>
              </c:strCache>
            </c:strRef>
          </c:cat>
          <c:val>
            <c:numRef>
              <c:f>Charts!$L$2:$L$4</c:f>
              <c:numCache>
                <c:formatCode>General</c:formatCode>
                <c:ptCount val="3"/>
                <c:pt idx="0">
                  <c:v>11380</c:v>
                </c:pt>
                <c:pt idx="1">
                  <c:v>15445</c:v>
                </c:pt>
                <c:pt idx="2">
                  <c:v>8670</c:v>
                </c:pt>
              </c:numCache>
            </c:numRef>
          </c:val>
          <c:extLst>
            <c:ext xmlns:c16="http://schemas.microsoft.com/office/drawing/2014/chart" uri="{C3380CC4-5D6E-409C-BE32-E72D297353CC}">
              <c16:uniqueId val="{00000000-1CE5-4383-9D9F-4A951F6849D2}"/>
            </c:ext>
          </c:extLst>
        </c:ser>
        <c:dLbls>
          <c:showLegendKey val="0"/>
          <c:showVal val="0"/>
          <c:showCatName val="0"/>
          <c:showSerName val="0"/>
          <c:showPercent val="0"/>
          <c:showBubbleSize val="0"/>
        </c:dLbls>
        <c:gapWidth val="150"/>
        <c:axId val="63459002"/>
        <c:axId val="15522272"/>
      </c:barChart>
      <c:catAx>
        <c:axId val="63459002"/>
        <c:scaling>
          <c:orientation val="minMax"/>
        </c:scaling>
        <c:delete val="0"/>
        <c:axPos val="l"/>
        <c:title>
          <c:tx>
            <c:rich>
              <a:bodyPr rot="-5400000"/>
              <a:lstStyle/>
              <a:p>
                <a:pPr>
                  <a:defRPr lang="en-IN" sz="1000" b="1" strike="noStrike" spc="-1">
                    <a:solidFill>
                      <a:srgbClr val="000000"/>
                    </a:solidFill>
                    <a:latin typeface="Calibri"/>
                    <a:ea typeface="Calibri"/>
                  </a:defRPr>
                </a:pPr>
                <a:r>
                  <a:rPr lang="en-IN" sz="1000" b="1" strike="noStrike" spc="-1">
                    <a:solidFill>
                      <a:srgbClr val="000000"/>
                    </a:solidFill>
                    <a:latin typeface="Calibri"/>
                    <a:ea typeface="Calibri"/>
                  </a:rPr>
                  <a:t>Revenue (₹)</a:t>
                </a:r>
              </a:p>
            </c:rich>
          </c:tx>
          <c:overlay val="0"/>
          <c:spPr>
            <a:noFill/>
            <a:ln w="0">
              <a:noFill/>
              <a:prstDash val="solid"/>
            </a:ln>
          </c:spPr>
        </c:title>
        <c:numFmt formatCode="General" sourceLinked="0"/>
        <c:majorTickMark val="none"/>
        <c:minorTickMark val="none"/>
        <c:tickLblPos val="nextTo"/>
        <c:spPr>
          <a:ln w="6480">
            <a:solidFill>
              <a:srgbClr val="8B8B8B"/>
            </a:solidFill>
            <a:prstDash val="solid"/>
            <a:round/>
          </a:ln>
        </c:spPr>
        <c:txPr>
          <a:bodyPr/>
          <a:lstStyle/>
          <a:p>
            <a:pPr>
              <a:defRPr sz="1000" b="0" strike="noStrike" spc="-1">
                <a:solidFill>
                  <a:srgbClr val="000000"/>
                </a:solidFill>
                <a:latin typeface="Calibri"/>
                <a:ea typeface="Calibri"/>
              </a:defRPr>
            </a:pPr>
            <a:endParaRPr lang="en-US"/>
          </a:p>
        </c:txPr>
        <c:crossAx val="15522272"/>
        <c:crosses val="autoZero"/>
        <c:auto val="1"/>
        <c:lblAlgn val="ctr"/>
        <c:lblOffset val="100"/>
        <c:noMultiLvlLbl val="0"/>
      </c:catAx>
      <c:valAx>
        <c:axId val="15522272"/>
        <c:scaling>
          <c:orientation val="minMax"/>
        </c:scaling>
        <c:delete val="0"/>
        <c:axPos val="b"/>
        <c:majorGridlines>
          <c:spPr>
            <a:ln w="6480">
              <a:solidFill>
                <a:srgbClr val="8B8B8B"/>
              </a:solidFill>
              <a:prstDash val="solid"/>
              <a:round/>
            </a:ln>
          </c:spPr>
        </c:majorGridlines>
        <c:title>
          <c:tx>
            <c:rich>
              <a:bodyPr rot="0"/>
              <a:lstStyle/>
              <a:p>
                <a:pPr>
                  <a:defRPr lang="en-IN" sz="1000" b="1" strike="noStrike" spc="-1">
                    <a:solidFill>
                      <a:srgbClr val="000000"/>
                    </a:solidFill>
                    <a:latin typeface="Calibri"/>
                    <a:ea typeface="Calibri"/>
                  </a:defRPr>
                </a:pPr>
                <a:r>
                  <a:rPr lang="en-IN" sz="1000" b="1" strike="noStrike" spc="-1">
                    <a:solidFill>
                      <a:srgbClr val="000000"/>
                    </a:solidFill>
                    <a:latin typeface="Calibri"/>
                    <a:ea typeface="Calibri"/>
                  </a:rPr>
                  <a:t>Store</a:t>
                </a:r>
              </a:p>
            </c:rich>
          </c:tx>
          <c:overlay val="0"/>
          <c:spPr>
            <a:noFill/>
            <a:ln w="0">
              <a:noFill/>
              <a:prstDash val="solid"/>
            </a:ln>
          </c:spPr>
        </c:title>
        <c:numFmt formatCode="General" sourceLinked="0"/>
        <c:majorTickMark val="none"/>
        <c:minorTickMark val="none"/>
        <c:tickLblPos val="nextTo"/>
        <c:spPr>
          <a:ln w="6480">
            <a:solidFill>
              <a:srgbClr val="8B8B8B"/>
            </a:solidFill>
            <a:prstDash val="solid"/>
            <a:round/>
          </a:ln>
        </c:spPr>
        <c:txPr>
          <a:bodyPr/>
          <a:lstStyle/>
          <a:p>
            <a:pPr>
              <a:defRPr sz="1000" b="0" strike="noStrike" spc="-1">
                <a:solidFill>
                  <a:srgbClr val="000000"/>
                </a:solidFill>
                <a:latin typeface="Calibri"/>
                <a:ea typeface="Calibri"/>
              </a:defRPr>
            </a:pPr>
            <a:endParaRPr lang="en-US"/>
          </a:p>
        </c:txPr>
        <c:crossAx val="63459002"/>
        <c:crosses val="autoZero"/>
        <c:crossBetween val="between"/>
      </c:valAx>
    </c:plotArea>
    <c:legend>
      <c:legendPos val="r"/>
      <c:overlay val="0"/>
      <c:spPr>
        <a:noFill/>
        <a:ln w="0">
          <a:noFill/>
          <a:prstDash val="solid"/>
        </a:ln>
      </c:spPr>
      <c:txPr>
        <a:bodyPr/>
        <a:lstStyle/>
        <a:p>
          <a:pPr>
            <a:defRPr sz="1000" b="0" strike="noStrike" spc="-1">
              <a:solidFill>
                <a:srgbClr val="000000"/>
              </a:solidFill>
              <a:latin typeface="Calibri"/>
              <a:ea typeface="Calibri"/>
            </a:defRPr>
          </a:pPr>
          <a:endParaRPr lang="en-US"/>
        </a:p>
      </c:txPr>
    </c:legend>
    <c:plotVisOnly val="1"/>
    <c:dispBlanksAs val="gap"/>
    <c:showDLblsOverMax val="1"/>
  </c:chart>
  <c:spPr>
    <a:solidFill>
      <a:srgbClr val="FFFFFF"/>
    </a:solidFill>
    <a:ln w="9360">
      <a:solidFill>
        <a:srgbClr val="D9D9D9"/>
      </a:solidFill>
      <a:prstDash val="solid"/>
      <a:round/>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a:lstStyle/>
          <a:p>
            <a:pPr>
              <a:defRPr lang="en-IN" sz="1800" b="1" strike="noStrike" spc="-1">
                <a:solidFill>
                  <a:srgbClr val="000000"/>
                </a:solidFill>
                <a:latin typeface="Calibri"/>
                <a:ea typeface="Calibri"/>
              </a:defRPr>
            </a:pPr>
            <a:r>
              <a:rPr lang="en-IN" sz="1800" b="1" strike="noStrike" spc="-1">
                <a:solidFill>
                  <a:srgbClr val="000000"/>
                </a:solidFill>
                <a:latin typeface="Calibri"/>
                <a:ea typeface="Calibri"/>
              </a:rPr>
              <a:t>Daily Revenue Trend</a:t>
            </a:r>
          </a:p>
        </c:rich>
      </c:tx>
      <c:overlay val="0"/>
      <c:spPr>
        <a:noFill/>
        <a:ln w="0">
          <a:noFill/>
          <a:prstDash val="solid"/>
        </a:ln>
      </c:spPr>
    </c:title>
    <c:autoTitleDeleted val="0"/>
    <c:plotArea>
      <c:layout/>
      <c:lineChart>
        <c:grouping val="standard"/>
        <c:varyColors val="0"/>
        <c:ser>
          <c:idx val="0"/>
          <c:order val="0"/>
          <c:tx>
            <c:strRef>
              <c:f>Charts!$I$1</c:f>
              <c:strCache>
                <c:ptCount val="1"/>
                <c:pt idx="0">
                  <c:v>Revenue</c:v>
                </c:pt>
              </c:strCache>
            </c:strRef>
          </c:tx>
          <c:spPr>
            <a:ln w="24840">
              <a:solidFill>
                <a:srgbClr val="ED7D31"/>
              </a:solidFill>
              <a:prstDash val="solid"/>
              <a:round/>
            </a:ln>
          </c:spPr>
          <c:marker>
            <c:symbol val="none"/>
          </c:marker>
          <c:dLbls>
            <c:spPr>
              <a:noFill/>
              <a:ln>
                <a:noFill/>
              </a:ln>
              <a:effectLst/>
            </c:spPr>
            <c:txPr>
              <a:bodyPr wrap="square"/>
              <a:lstStyle/>
              <a:p>
                <a:pPr>
                  <a:defRPr sz="1000" b="0" strike="noStrike" spc="-1">
                    <a:solidFill>
                      <a:srgbClr val="000000"/>
                    </a:solidFill>
                    <a:latin typeface="Arial"/>
                    <a:ea typeface="Calibri"/>
                  </a:defRPr>
                </a:pPr>
                <a:endParaRPr lang="en-US"/>
              </a:p>
            </c:tx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Charts!$H$2:$H$11</c:f>
              <c:strCache>
                <c:ptCount val="10"/>
                <c:pt idx="0">
                  <c:v>01-Jul</c:v>
                </c:pt>
                <c:pt idx="1">
                  <c:v>02-Jul</c:v>
                </c:pt>
                <c:pt idx="2">
                  <c:v>03-Jul</c:v>
                </c:pt>
                <c:pt idx="3">
                  <c:v>04-Jul</c:v>
                </c:pt>
                <c:pt idx="4">
                  <c:v>05-Jul</c:v>
                </c:pt>
                <c:pt idx="5">
                  <c:v>06-Jul</c:v>
                </c:pt>
                <c:pt idx="6">
                  <c:v>07-Jul</c:v>
                </c:pt>
                <c:pt idx="7">
                  <c:v>08-Jul</c:v>
                </c:pt>
                <c:pt idx="8">
                  <c:v>09-Jul</c:v>
                </c:pt>
                <c:pt idx="9">
                  <c:v>10-Jul</c:v>
                </c:pt>
              </c:strCache>
            </c:strRef>
          </c:cat>
          <c:val>
            <c:numRef>
              <c:f>Charts!$I$2:$I$11</c:f>
              <c:numCache>
                <c:formatCode>General</c:formatCode>
                <c:ptCount val="10"/>
                <c:pt idx="0">
                  <c:v>1965</c:v>
                </c:pt>
                <c:pt idx="1">
                  <c:v>2420</c:v>
                </c:pt>
                <c:pt idx="2">
                  <c:v>2910</c:v>
                </c:pt>
                <c:pt idx="3">
                  <c:v>900</c:v>
                </c:pt>
                <c:pt idx="4">
                  <c:v>2570</c:v>
                </c:pt>
                <c:pt idx="5">
                  <c:v>4020</c:v>
                </c:pt>
                <c:pt idx="6">
                  <c:v>4760</c:v>
                </c:pt>
                <c:pt idx="7">
                  <c:v>6550</c:v>
                </c:pt>
                <c:pt idx="8">
                  <c:v>3150</c:v>
                </c:pt>
                <c:pt idx="9">
                  <c:v>6250</c:v>
                </c:pt>
              </c:numCache>
            </c:numRef>
          </c:val>
          <c:smooth val="1"/>
          <c:extLst>
            <c:ext xmlns:c16="http://schemas.microsoft.com/office/drawing/2014/chart" uri="{C3380CC4-5D6E-409C-BE32-E72D297353CC}">
              <c16:uniqueId val="{00000000-7462-477C-BE6E-D61D10DDF777}"/>
            </c:ext>
          </c:extLst>
        </c:ser>
        <c:dLbls>
          <c:showLegendKey val="0"/>
          <c:showVal val="0"/>
          <c:showCatName val="0"/>
          <c:showSerName val="0"/>
          <c:showPercent val="0"/>
          <c:showBubbleSize val="0"/>
        </c:dLbls>
        <c:hiLowLines>
          <c:spPr>
            <a:ln w="0">
              <a:noFill/>
              <a:prstDash val="solid"/>
            </a:ln>
          </c:spPr>
        </c:hiLowLines>
        <c:smooth val="0"/>
        <c:axId val="75993551"/>
        <c:axId val="54832428"/>
      </c:lineChart>
      <c:catAx>
        <c:axId val="75993551"/>
        <c:scaling>
          <c:orientation val="minMax"/>
        </c:scaling>
        <c:delete val="0"/>
        <c:axPos val="b"/>
        <c:title>
          <c:tx>
            <c:rich>
              <a:bodyPr rot="0"/>
              <a:lstStyle/>
              <a:p>
                <a:pPr>
                  <a:defRPr lang="en-IN" sz="1000" b="1" strike="noStrike" spc="-1">
                    <a:solidFill>
                      <a:srgbClr val="000000"/>
                    </a:solidFill>
                    <a:latin typeface="Calibri"/>
                    <a:ea typeface="Calibri"/>
                  </a:defRPr>
                </a:pPr>
                <a:r>
                  <a:rPr lang="en-IN" sz="1000" b="1" strike="noStrike" spc="-1">
                    <a:solidFill>
                      <a:srgbClr val="000000"/>
                    </a:solidFill>
                    <a:latin typeface="Calibri"/>
                    <a:ea typeface="Calibri"/>
                  </a:rPr>
                  <a:t>Date</a:t>
                </a:r>
              </a:p>
            </c:rich>
          </c:tx>
          <c:overlay val="0"/>
          <c:spPr>
            <a:noFill/>
            <a:ln w="0">
              <a:noFill/>
              <a:prstDash val="solid"/>
            </a:ln>
          </c:spPr>
        </c:title>
        <c:numFmt formatCode="General" sourceLinked="0"/>
        <c:majorTickMark val="none"/>
        <c:minorTickMark val="none"/>
        <c:tickLblPos val="nextTo"/>
        <c:spPr>
          <a:ln w="6480">
            <a:solidFill>
              <a:srgbClr val="8B8B8B"/>
            </a:solidFill>
            <a:prstDash val="solid"/>
            <a:round/>
          </a:ln>
        </c:spPr>
        <c:txPr>
          <a:bodyPr/>
          <a:lstStyle/>
          <a:p>
            <a:pPr>
              <a:defRPr sz="1000" b="0" strike="noStrike" spc="-1">
                <a:solidFill>
                  <a:srgbClr val="000000"/>
                </a:solidFill>
                <a:latin typeface="Calibri"/>
                <a:ea typeface="Calibri"/>
              </a:defRPr>
            </a:pPr>
            <a:endParaRPr lang="en-US"/>
          </a:p>
        </c:txPr>
        <c:crossAx val="54832428"/>
        <c:crosses val="autoZero"/>
        <c:auto val="1"/>
        <c:lblAlgn val="ctr"/>
        <c:lblOffset val="100"/>
        <c:noMultiLvlLbl val="0"/>
      </c:catAx>
      <c:valAx>
        <c:axId val="54832428"/>
        <c:scaling>
          <c:orientation val="minMax"/>
        </c:scaling>
        <c:delete val="0"/>
        <c:axPos val="l"/>
        <c:majorGridlines>
          <c:spPr>
            <a:ln w="6480">
              <a:solidFill>
                <a:srgbClr val="8B8B8B"/>
              </a:solidFill>
              <a:prstDash val="solid"/>
              <a:round/>
            </a:ln>
          </c:spPr>
        </c:majorGridlines>
        <c:title>
          <c:tx>
            <c:rich>
              <a:bodyPr rot="-5400000"/>
              <a:lstStyle/>
              <a:p>
                <a:pPr>
                  <a:defRPr lang="en-IN" sz="1000" b="1" strike="noStrike" spc="-1">
                    <a:solidFill>
                      <a:srgbClr val="000000"/>
                    </a:solidFill>
                    <a:latin typeface="Calibri"/>
                    <a:ea typeface="Calibri"/>
                  </a:defRPr>
                </a:pPr>
                <a:r>
                  <a:rPr lang="en-IN" sz="1000" b="1" strike="noStrike" spc="-1">
                    <a:solidFill>
                      <a:srgbClr val="000000"/>
                    </a:solidFill>
                    <a:latin typeface="Calibri"/>
                    <a:ea typeface="Calibri"/>
                  </a:rPr>
                  <a:t>Revenue (₹)</a:t>
                </a:r>
              </a:p>
            </c:rich>
          </c:tx>
          <c:overlay val="0"/>
          <c:spPr>
            <a:noFill/>
            <a:ln w="0">
              <a:noFill/>
              <a:prstDash val="solid"/>
            </a:ln>
          </c:spPr>
        </c:title>
        <c:numFmt formatCode="General" sourceLinked="0"/>
        <c:majorTickMark val="none"/>
        <c:minorTickMark val="none"/>
        <c:tickLblPos val="nextTo"/>
        <c:spPr>
          <a:ln w="6480">
            <a:solidFill>
              <a:srgbClr val="8B8B8B"/>
            </a:solidFill>
            <a:prstDash val="solid"/>
            <a:round/>
          </a:ln>
        </c:spPr>
        <c:txPr>
          <a:bodyPr/>
          <a:lstStyle/>
          <a:p>
            <a:pPr>
              <a:defRPr sz="1000" b="0" strike="noStrike" spc="-1">
                <a:solidFill>
                  <a:srgbClr val="000000"/>
                </a:solidFill>
                <a:latin typeface="Calibri"/>
                <a:ea typeface="Calibri"/>
              </a:defRPr>
            </a:pPr>
            <a:endParaRPr lang="en-US"/>
          </a:p>
        </c:txPr>
        <c:crossAx val="75993551"/>
        <c:crosses val="autoZero"/>
        <c:crossBetween val="between"/>
      </c:valAx>
    </c:plotArea>
    <c:legend>
      <c:legendPos val="r"/>
      <c:overlay val="0"/>
      <c:spPr>
        <a:noFill/>
        <a:ln w="0">
          <a:noFill/>
          <a:prstDash val="solid"/>
        </a:ln>
      </c:spPr>
      <c:txPr>
        <a:bodyPr/>
        <a:lstStyle/>
        <a:p>
          <a:pPr>
            <a:defRPr sz="1000" b="0" strike="noStrike" spc="-1">
              <a:solidFill>
                <a:srgbClr val="000000"/>
              </a:solidFill>
              <a:latin typeface="Calibri"/>
              <a:ea typeface="Calibri"/>
            </a:defRPr>
          </a:pPr>
          <a:endParaRPr lang="en-US"/>
        </a:p>
      </c:txPr>
    </c:legend>
    <c:plotVisOnly val="1"/>
    <c:dispBlanksAs val="gap"/>
    <c:showDLblsOverMax val="1"/>
  </c:chart>
  <c:spPr>
    <a:solidFill>
      <a:srgbClr val="FFFFFF"/>
    </a:solidFill>
    <a:ln w="9360">
      <a:solidFill>
        <a:srgbClr val="D9D9D9"/>
      </a:solidFill>
      <a:prstDash val="solid"/>
      <a:round/>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a:lstStyle/>
          <a:p>
            <a:pPr>
              <a:defRPr lang="en-IN" sz="1800" b="1" strike="noStrike" spc="-1">
                <a:solidFill>
                  <a:srgbClr val="000000"/>
                </a:solidFill>
                <a:latin typeface="Calibri"/>
                <a:ea typeface="Calibri"/>
              </a:defRPr>
            </a:pPr>
            <a:r>
              <a:rPr lang="en-IN" sz="1800" b="1" strike="noStrike" spc="-1">
                <a:solidFill>
                  <a:srgbClr val="000000"/>
                </a:solidFill>
                <a:latin typeface="Calibri"/>
                <a:ea typeface="Calibri"/>
              </a:rPr>
              <a:t>Region-wise Revenue Contribution</a:t>
            </a:r>
          </a:p>
        </c:rich>
      </c:tx>
      <c:overlay val="0"/>
      <c:spPr>
        <a:noFill/>
        <a:ln w="0">
          <a:noFill/>
          <a:prstDash val="solid"/>
        </a:ln>
      </c:spPr>
    </c:title>
    <c:autoTitleDeleted val="0"/>
    <c:plotArea>
      <c:layout/>
      <c:pieChart>
        <c:varyColors val="1"/>
        <c:ser>
          <c:idx val="0"/>
          <c:order val="0"/>
          <c:tx>
            <c:strRef>
              <c:f>Charts!$F$1</c:f>
              <c:strCache>
                <c:ptCount val="1"/>
                <c:pt idx="0">
                  <c:v>Revenue</c:v>
                </c:pt>
              </c:strCache>
            </c:strRef>
          </c:tx>
          <c:spPr>
            <a:solidFill>
              <a:srgbClr val="4F81BD"/>
            </a:solidFill>
            <a:ln w="6480">
              <a:solidFill>
                <a:srgbClr val="FFFFFF"/>
              </a:solidFill>
              <a:prstDash val="solid"/>
              <a:round/>
            </a:ln>
          </c:spPr>
          <c:dPt>
            <c:idx val="0"/>
            <c:bubble3D val="0"/>
            <c:spPr>
              <a:solidFill>
                <a:srgbClr val="2E75B6"/>
              </a:solidFill>
              <a:ln w="6480">
                <a:solidFill>
                  <a:srgbClr val="FFFFFF"/>
                </a:solidFill>
                <a:prstDash val="solid"/>
                <a:round/>
              </a:ln>
            </c:spPr>
            <c:extLst>
              <c:ext xmlns:c16="http://schemas.microsoft.com/office/drawing/2014/chart" uri="{C3380CC4-5D6E-409C-BE32-E72D297353CC}">
                <c16:uniqueId val="{00000001-5E4A-4C19-B14C-574CFC9DC46A}"/>
              </c:ext>
            </c:extLst>
          </c:dPt>
          <c:dPt>
            <c:idx val="1"/>
            <c:bubble3D val="0"/>
            <c:spPr>
              <a:solidFill>
                <a:srgbClr val="ED7D31"/>
              </a:solidFill>
              <a:ln w="6480">
                <a:solidFill>
                  <a:srgbClr val="FFFFFF"/>
                </a:solidFill>
                <a:prstDash val="solid"/>
                <a:round/>
              </a:ln>
            </c:spPr>
            <c:extLst>
              <c:ext xmlns:c16="http://schemas.microsoft.com/office/drawing/2014/chart" uri="{C3380CC4-5D6E-409C-BE32-E72D297353CC}">
                <c16:uniqueId val="{00000003-5E4A-4C19-B14C-574CFC9DC46A}"/>
              </c:ext>
            </c:extLst>
          </c:dPt>
          <c:dPt>
            <c:idx val="2"/>
            <c:bubble3D val="0"/>
            <c:spPr>
              <a:solidFill>
                <a:srgbClr val="375623"/>
              </a:solidFill>
              <a:ln w="6480">
                <a:solidFill>
                  <a:srgbClr val="FFFFFF"/>
                </a:solidFill>
                <a:prstDash val="solid"/>
                <a:round/>
              </a:ln>
            </c:spPr>
            <c:extLst>
              <c:ext xmlns:c16="http://schemas.microsoft.com/office/drawing/2014/chart" uri="{C3380CC4-5D6E-409C-BE32-E72D297353CC}">
                <c16:uniqueId val="{00000005-5E4A-4C19-B14C-574CFC9DC46A}"/>
              </c:ext>
            </c:extLst>
          </c:dPt>
          <c:dLbls>
            <c:dLbl>
              <c:idx val="0"/>
              <c:spPr/>
              <c:txPr>
                <a:bodyPr wrap="square"/>
                <a:lstStyle/>
                <a:p>
                  <a:pPr>
                    <a:defRPr sz="1000" b="0" strike="noStrike" spc="-1">
                      <a:solidFill>
                        <a:srgbClr val="000000"/>
                      </a:solidFill>
                      <a:latin typeface="Calibri"/>
                      <a:ea typeface="Calibri"/>
                    </a:defRPr>
                  </a:pPr>
                  <a:endParaRPr lang="en-US"/>
                </a:p>
              </c:txPr>
              <c:dLblPos val="bestFit"/>
              <c:showLegendKey val="1"/>
              <c:showVal val="1"/>
              <c:showCatName val="1"/>
              <c:showSerName val="1"/>
              <c:showPercent val="1"/>
              <c:showBubbleSize val="1"/>
              <c:extLst>
                <c:ext xmlns:c16="http://schemas.microsoft.com/office/drawing/2014/chart" uri="{C3380CC4-5D6E-409C-BE32-E72D297353CC}">
                  <c16:uniqueId val="{00000001-5E4A-4C19-B14C-574CFC9DC46A}"/>
                </c:ext>
              </c:extLst>
            </c:dLbl>
            <c:dLbl>
              <c:idx val="1"/>
              <c:spPr/>
              <c:txPr>
                <a:bodyPr wrap="square"/>
                <a:lstStyle/>
                <a:p>
                  <a:pPr>
                    <a:defRPr sz="1000" b="0" strike="noStrike" spc="-1">
                      <a:solidFill>
                        <a:srgbClr val="000000"/>
                      </a:solidFill>
                      <a:latin typeface="Calibri"/>
                      <a:ea typeface="Calibri"/>
                    </a:defRPr>
                  </a:pPr>
                  <a:endParaRPr lang="en-US"/>
                </a:p>
              </c:txPr>
              <c:dLblPos val="bestFit"/>
              <c:showLegendKey val="1"/>
              <c:showVal val="1"/>
              <c:showCatName val="1"/>
              <c:showSerName val="1"/>
              <c:showPercent val="1"/>
              <c:showBubbleSize val="1"/>
              <c:extLst>
                <c:ext xmlns:c16="http://schemas.microsoft.com/office/drawing/2014/chart" uri="{C3380CC4-5D6E-409C-BE32-E72D297353CC}">
                  <c16:uniqueId val="{00000003-5E4A-4C19-B14C-574CFC9DC46A}"/>
                </c:ext>
              </c:extLst>
            </c:dLbl>
            <c:dLbl>
              <c:idx val="2"/>
              <c:spPr/>
              <c:txPr>
                <a:bodyPr wrap="square"/>
                <a:lstStyle/>
                <a:p>
                  <a:pPr>
                    <a:defRPr sz="1000" b="0" strike="noStrike" spc="-1">
                      <a:solidFill>
                        <a:srgbClr val="000000"/>
                      </a:solidFill>
                      <a:latin typeface="Calibri"/>
                      <a:ea typeface="Calibri"/>
                    </a:defRPr>
                  </a:pPr>
                  <a:endParaRPr lang="en-US"/>
                </a:p>
              </c:txPr>
              <c:dLblPos val="bestFit"/>
              <c:showLegendKey val="1"/>
              <c:showVal val="1"/>
              <c:showCatName val="1"/>
              <c:showSerName val="1"/>
              <c:showPercent val="1"/>
              <c:showBubbleSize val="1"/>
              <c:extLst>
                <c:ext xmlns:c16="http://schemas.microsoft.com/office/drawing/2014/chart" uri="{C3380CC4-5D6E-409C-BE32-E72D297353CC}">
                  <c16:uniqueId val="{00000005-5E4A-4C19-B14C-574CFC9DC46A}"/>
                </c:ext>
              </c:extLst>
            </c:dLbl>
            <c:spPr>
              <a:noFill/>
              <a:ln>
                <a:noFill/>
              </a:ln>
              <a:effectLst/>
            </c:spPr>
            <c:txPr>
              <a:bodyPr wrap="square"/>
              <a:lstStyle/>
              <a:p>
                <a:pPr>
                  <a:defRPr sz="1000" b="0" strike="noStrike" spc="-1">
                    <a:solidFill>
                      <a:srgbClr val="000000"/>
                    </a:solidFill>
                    <a:latin typeface="Calibri"/>
                    <a:ea typeface="Calibri"/>
                  </a:defRPr>
                </a:pPr>
                <a:endParaRPr lang="en-US"/>
              </a:p>
            </c:txPr>
            <c:dLblPos val="bestFit"/>
            <c:showLegendKey val="1"/>
            <c:showVal val="1"/>
            <c:showCatName val="1"/>
            <c:showSerName val="1"/>
            <c:showPercent val="1"/>
            <c:showBubbleSize val="1"/>
            <c:showLeaderLines val="1"/>
            <c:extLst>
              <c:ext xmlns:c15="http://schemas.microsoft.com/office/drawing/2012/chart" uri="{CE6537A1-D6FC-4f65-9D91-7224C49458BB}"/>
            </c:extLst>
          </c:dLbls>
          <c:cat>
            <c:strRef>
              <c:f>Charts!$E$2:$E$4</c:f>
              <c:strCache>
                <c:ptCount val="3"/>
                <c:pt idx="0">
                  <c:v>West</c:v>
                </c:pt>
                <c:pt idx="1">
                  <c:v>South</c:v>
                </c:pt>
                <c:pt idx="2">
                  <c:v>North</c:v>
                </c:pt>
              </c:strCache>
            </c:strRef>
          </c:cat>
          <c:val>
            <c:numRef>
              <c:f>Charts!$F$2:$F$4</c:f>
              <c:numCache>
                <c:formatCode>General</c:formatCode>
                <c:ptCount val="3"/>
                <c:pt idx="0">
                  <c:v>11380</c:v>
                </c:pt>
                <c:pt idx="1">
                  <c:v>15445</c:v>
                </c:pt>
                <c:pt idx="2">
                  <c:v>8670</c:v>
                </c:pt>
              </c:numCache>
            </c:numRef>
          </c:val>
          <c:extLst>
            <c:ext xmlns:c16="http://schemas.microsoft.com/office/drawing/2014/chart" uri="{C3380CC4-5D6E-409C-BE32-E72D297353CC}">
              <c16:uniqueId val="{00000006-5E4A-4C19-B14C-574CFC9DC46A}"/>
            </c:ext>
          </c:extLst>
        </c:ser>
        <c:dLbls>
          <c:showLegendKey val="0"/>
          <c:showVal val="0"/>
          <c:showCatName val="0"/>
          <c:showSerName val="0"/>
          <c:showPercent val="0"/>
          <c:showBubbleSize val="0"/>
          <c:showLeaderLines val="1"/>
        </c:dLbls>
        <c:firstSliceAng val="0"/>
      </c:pieChart>
    </c:plotArea>
    <c:legend>
      <c:legendPos val="r"/>
      <c:overlay val="0"/>
      <c:spPr>
        <a:noFill/>
        <a:ln w="0">
          <a:noFill/>
          <a:prstDash val="solid"/>
        </a:ln>
      </c:spPr>
      <c:txPr>
        <a:bodyPr/>
        <a:lstStyle/>
        <a:p>
          <a:pPr>
            <a:defRPr sz="1000" b="0" strike="noStrike" spc="-1">
              <a:solidFill>
                <a:srgbClr val="000000"/>
              </a:solidFill>
              <a:latin typeface="Calibri"/>
              <a:ea typeface="Calibri"/>
            </a:defRPr>
          </a:pPr>
          <a:endParaRPr lang="en-US"/>
        </a:p>
      </c:txPr>
    </c:legend>
    <c:plotVisOnly val="1"/>
    <c:dispBlanksAs val="gap"/>
    <c:showDLblsOverMax val="1"/>
  </c:chart>
  <c:spPr>
    <a:solidFill>
      <a:srgbClr val="FFFFFF"/>
    </a:solidFill>
    <a:ln w="9360">
      <a:solidFill>
        <a:srgbClr val="D9D9D9"/>
      </a:solidFill>
      <a:prstDash val="solid"/>
      <a:round/>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a:lstStyle/>
          <a:p>
            <a:pPr>
              <a:defRPr lang="en-IN" sz="1800" b="1" strike="noStrike" spc="-1">
                <a:solidFill>
                  <a:srgbClr val="000000"/>
                </a:solidFill>
                <a:latin typeface="Calibri"/>
                <a:ea typeface="Calibri"/>
              </a:defRPr>
            </a:pPr>
            <a:r>
              <a:rPr lang="en-IN" sz="1800" b="1" strike="noStrike" spc="-1">
                <a:solidFill>
                  <a:srgbClr val="000000"/>
                </a:solidFill>
                <a:latin typeface="Calibri"/>
                <a:ea typeface="Calibri"/>
              </a:rPr>
              <a:t>Product Category Revenue Comparison</a:t>
            </a:r>
          </a:p>
        </c:rich>
      </c:tx>
      <c:overlay val="0"/>
      <c:spPr>
        <a:noFill/>
        <a:ln w="0">
          <a:noFill/>
          <a:prstDash val="solid"/>
        </a:ln>
      </c:spPr>
    </c:title>
    <c:autoTitleDeleted val="0"/>
    <c:plotArea>
      <c:layout/>
      <c:barChart>
        <c:barDir val="col"/>
        <c:grouping val="stacked"/>
        <c:varyColors val="0"/>
        <c:ser>
          <c:idx val="0"/>
          <c:order val="0"/>
          <c:tx>
            <c:strRef>
              <c:f>Charts!$Q$1</c:f>
              <c:strCache>
                <c:ptCount val="1"/>
                <c:pt idx="0">
                  <c:v>Stationery</c:v>
                </c:pt>
              </c:strCache>
            </c:strRef>
          </c:tx>
          <c:spPr>
            <a:solidFill>
              <a:srgbClr val="4472C4"/>
            </a:solidFill>
            <a:ln w="6480">
              <a:solidFill>
                <a:srgbClr val="FFFFFF"/>
              </a:solidFill>
              <a:prstDash val="solid"/>
              <a:round/>
            </a:ln>
          </c:spPr>
          <c:invertIfNegative val="0"/>
          <c:dLbls>
            <c:spPr>
              <a:noFill/>
              <a:ln>
                <a:noFill/>
              </a:ln>
              <a:effectLst/>
            </c:spPr>
            <c:txPr>
              <a:bodyPr wrap="square"/>
              <a:lstStyle/>
              <a:p>
                <a:pPr>
                  <a:defRPr sz="1000" b="0" strike="noStrike" spc="-1">
                    <a:solidFill>
                      <a:srgbClr val="000000"/>
                    </a:solidFill>
                    <a:latin typeface="Arial"/>
                    <a:ea typeface="Calibri"/>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Charts!$P$2:$P$6</c:f>
              <c:strCache>
                <c:ptCount val="5"/>
                <c:pt idx="0">
                  <c:v>Notebook</c:v>
                </c:pt>
                <c:pt idx="1">
                  <c:v>Pen</c:v>
                </c:pt>
                <c:pt idx="2">
                  <c:v>Marker</c:v>
                </c:pt>
                <c:pt idx="3">
                  <c:v>Folder</c:v>
                </c:pt>
                <c:pt idx="4">
                  <c:v>Stapler</c:v>
                </c:pt>
              </c:strCache>
            </c:strRef>
          </c:cat>
          <c:val>
            <c:numRef>
              <c:f>Charts!$Q$2:$Q$6</c:f>
              <c:numCache>
                <c:formatCode>General</c:formatCode>
                <c:ptCount val="5"/>
                <c:pt idx="0">
                  <c:v>13200</c:v>
                </c:pt>
                <c:pt idx="1">
                  <c:v>2685</c:v>
                </c:pt>
                <c:pt idx="2">
                  <c:v>3810</c:v>
                </c:pt>
                <c:pt idx="3">
                  <c:v>0</c:v>
                </c:pt>
                <c:pt idx="4">
                  <c:v>0</c:v>
                </c:pt>
              </c:numCache>
            </c:numRef>
          </c:val>
          <c:extLst>
            <c:ext xmlns:c16="http://schemas.microsoft.com/office/drawing/2014/chart" uri="{C3380CC4-5D6E-409C-BE32-E72D297353CC}">
              <c16:uniqueId val="{00000000-8761-4A30-ACEB-D512A4C59E70}"/>
            </c:ext>
          </c:extLst>
        </c:ser>
        <c:ser>
          <c:idx val="1"/>
          <c:order val="1"/>
          <c:tx>
            <c:strRef>
              <c:f>Charts!$R$1</c:f>
              <c:strCache>
                <c:ptCount val="1"/>
                <c:pt idx="0">
                  <c:v>Office Supplies</c:v>
                </c:pt>
              </c:strCache>
            </c:strRef>
          </c:tx>
          <c:spPr>
            <a:solidFill>
              <a:srgbClr val="ED7D31"/>
            </a:solidFill>
            <a:ln w="6480">
              <a:solidFill>
                <a:srgbClr val="FFFFFF"/>
              </a:solidFill>
              <a:prstDash val="solid"/>
              <a:round/>
            </a:ln>
          </c:spPr>
          <c:invertIfNegative val="0"/>
          <c:dLbls>
            <c:spPr>
              <a:noFill/>
              <a:ln>
                <a:noFill/>
              </a:ln>
              <a:effectLst/>
            </c:spPr>
            <c:txPr>
              <a:bodyPr wrap="square"/>
              <a:lstStyle/>
              <a:p>
                <a:pPr>
                  <a:defRPr sz="1000" b="0" strike="noStrike" spc="-1">
                    <a:solidFill>
                      <a:srgbClr val="000000"/>
                    </a:solidFill>
                    <a:latin typeface="Arial"/>
                    <a:ea typeface="Calibri"/>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Charts!$P$2:$P$6</c:f>
              <c:strCache>
                <c:ptCount val="5"/>
                <c:pt idx="0">
                  <c:v>Notebook</c:v>
                </c:pt>
                <c:pt idx="1">
                  <c:v>Pen</c:v>
                </c:pt>
                <c:pt idx="2">
                  <c:v>Marker</c:v>
                </c:pt>
                <c:pt idx="3">
                  <c:v>Folder</c:v>
                </c:pt>
                <c:pt idx="4">
                  <c:v>Stapler</c:v>
                </c:pt>
              </c:strCache>
            </c:strRef>
          </c:cat>
          <c:val>
            <c:numRef>
              <c:f>Charts!$R$2:$R$6</c:f>
              <c:numCache>
                <c:formatCode>General</c:formatCode>
                <c:ptCount val="5"/>
                <c:pt idx="0">
                  <c:v>0</c:v>
                </c:pt>
                <c:pt idx="1">
                  <c:v>0</c:v>
                </c:pt>
                <c:pt idx="2">
                  <c:v>0</c:v>
                </c:pt>
                <c:pt idx="3">
                  <c:v>5900</c:v>
                </c:pt>
                <c:pt idx="4">
                  <c:v>9900</c:v>
                </c:pt>
              </c:numCache>
            </c:numRef>
          </c:val>
          <c:extLst>
            <c:ext xmlns:c16="http://schemas.microsoft.com/office/drawing/2014/chart" uri="{C3380CC4-5D6E-409C-BE32-E72D297353CC}">
              <c16:uniqueId val="{00000001-8761-4A30-ACEB-D512A4C59E70}"/>
            </c:ext>
          </c:extLst>
        </c:ser>
        <c:dLbls>
          <c:showLegendKey val="0"/>
          <c:showVal val="0"/>
          <c:showCatName val="0"/>
          <c:showSerName val="0"/>
          <c:showPercent val="0"/>
          <c:showBubbleSize val="0"/>
        </c:dLbls>
        <c:gapWidth val="150"/>
        <c:overlap val="100"/>
        <c:axId val="59382407"/>
        <c:axId val="16685212"/>
      </c:barChart>
      <c:catAx>
        <c:axId val="59382407"/>
        <c:scaling>
          <c:orientation val="minMax"/>
        </c:scaling>
        <c:delete val="0"/>
        <c:axPos val="b"/>
        <c:title>
          <c:tx>
            <c:rich>
              <a:bodyPr rot="0"/>
              <a:lstStyle/>
              <a:p>
                <a:pPr>
                  <a:defRPr lang="en-IN" sz="1000" b="1" strike="noStrike" spc="-1">
                    <a:solidFill>
                      <a:srgbClr val="000000"/>
                    </a:solidFill>
                    <a:latin typeface="Calibri"/>
                    <a:ea typeface="Calibri"/>
                  </a:defRPr>
                </a:pPr>
                <a:r>
                  <a:rPr lang="en-IN" sz="1000" b="1" strike="noStrike" spc="-1">
                    <a:solidFill>
                      <a:srgbClr val="000000"/>
                    </a:solidFill>
                    <a:latin typeface="Calibri"/>
                    <a:ea typeface="Calibri"/>
                  </a:rPr>
                  <a:t>Product</a:t>
                </a:r>
              </a:p>
            </c:rich>
          </c:tx>
          <c:overlay val="0"/>
          <c:spPr>
            <a:noFill/>
            <a:ln w="0">
              <a:noFill/>
              <a:prstDash val="solid"/>
            </a:ln>
          </c:spPr>
        </c:title>
        <c:numFmt formatCode="General" sourceLinked="0"/>
        <c:majorTickMark val="none"/>
        <c:minorTickMark val="none"/>
        <c:tickLblPos val="nextTo"/>
        <c:spPr>
          <a:ln w="6480">
            <a:solidFill>
              <a:srgbClr val="8B8B8B"/>
            </a:solidFill>
            <a:prstDash val="solid"/>
            <a:round/>
          </a:ln>
        </c:spPr>
        <c:txPr>
          <a:bodyPr/>
          <a:lstStyle/>
          <a:p>
            <a:pPr>
              <a:defRPr sz="1000" b="0" strike="noStrike" spc="-1">
                <a:solidFill>
                  <a:srgbClr val="000000"/>
                </a:solidFill>
                <a:latin typeface="Calibri"/>
                <a:ea typeface="Calibri"/>
              </a:defRPr>
            </a:pPr>
            <a:endParaRPr lang="en-US"/>
          </a:p>
        </c:txPr>
        <c:crossAx val="16685212"/>
        <c:crosses val="autoZero"/>
        <c:auto val="1"/>
        <c:lblAlgn val="ctr"/>
        <c:lblOffset val="100"/>
        <c:noMultiLvlLbl val="0"/>
      </c:catAx>
      <c:valAx>
        <c:axId val="16685212"/>
        <c:scaling>
          <c:orientation val="minMax"/>
        </c:scaling>
        <c:delete val="0"/>
        <c:axPos val="l"/>
        <c:majorGridlines>
          <c:spPr>
            <a:ln w="6480">
              <a:solidFill>
                <a:srgbClr val="8B8B8B"/>
              </a:solidFill>
              <a:prstDash val="solid"/>
              <a:round/>
            </a:ln>
          </c:spPr>
        </c:majorGridlines>
        <c:title>
          <c:tx>
            <c:rich>
              <a:bodyPr rot="-5400000"/>
              <a:lstStyle/>
              <a:p>
                <a:pPr>
                  <a:defRPr lang="en-IN" sz="1000" b="1" strike="noStrike" spc="-1">
                    <a:solidFill>
                      <a:srgbClr val="000000"/>
                    </a:solidFill>
                    <a:latin typeface="Calibri"/>
                    <a:ea typeface="Calibri"/>
                  </a:defRPr>
                </a:pPr>
                <a:r>
                  <a:rPr lang="en-IN" sz="1000" b="1" strike="noStrike" spc="-1">
                    <a:solidFill>
                      <a:srgbClr val="000000"/>
                    </a:solidFill>
                    <a:latin typeface="Calibri"/>
                    <a:ea typeface="Calibri"/>
                  </a:rPr>
                  <a:t>Revenue (₹)</a:t>
                </a:r>
              </a:p>
            </c:rich>
          </c:tx>
          <c:overlay val="0"/>
          <c:spPr>
            <a:noFill/>
            <a:ln w="0">
              <a:noFill/>
              <a:prstDash val="solid"/>
            </a:ln>
          </c:spPr>
        </c:title>
        <c:numFmt formatCode="General" sourceLinked="0"/>
        <c:majorTickMark val="none"/>
        <c:minorTickMark val="none"/>
        <c:tickLblPos val="nextTo"/>
        <c:spPr>
          <a:ln w="6480">
            <a:solidFill>
              <a:srgbClr val="8B8B8B"/>
            </a:solidFill>
            <a:prstDash val="solid"/>
            <a:round/>
          </a:ln>
        </c:spPr>
        <c:txPr>
          <a:bodyPr/>
          <a:lstStyle/>
          <a:p>
            <a:pPr>
              <a:defRPr sz="1000" b="0" strike="noStrike" spc="-1">
                <a:solidFill>
                  <a:srgbClr val="000000"/>
                </a:solidFill>
                <a:latin typeface="Calibri"/>
                <a:ea typeface="Calibri"/>
              </a:defRPr>
            </a:pPr>
            <a:endParaRPr lang="en-US"/>
          </a:p>
        </c:txPr>
        <c:crossAx val="59382407"/>
        <c:crosses val="autoZero"/>
        <c:crossBetween val="between"/>
      </c:valAx>
    </c:plotArea>
    <c:legend>
      <c:legendPos val="r"/>
      <c:overlay val="0"/>
      <c:spPr>
        <a:noFill/>
        <a:ln w="0">
          <a:noFill/>
          <a:prstDash val="solid"/>
        </a:ln>
      </c:spPr>
      <c:txPr>
        <a:bodyPr/>
        <a:lstStyle/>
        <a:p>
          <a:pPr>
            <a:defRPr sz="1000" b="0" strike="noStrike" spc="-1">
              <a:solidFill>
                <a:srgbClr val="000000"/>
              </a:solidFill>
              <a:latin typeface="Calibri"/>
              <a:ea typeface="Calibri"/>
            </a:defRPr>
          </a:pPr>
          <a:endParaRPr lang="en-US"/>
        </a:p>
      </c:txPr>
    </c:legend>
    <c:plotVisOnly val="1"/>
    <c:dispBlanksAs val="gap"/>
    <c:showDLblsOverMax val="1"/>
  </c:chart>
  <c:spPr>
    <a:solidFill>
      <a:srgbClr val="FFFFFF"/>
    </a:solidFill>
    <a:ln w="9360">
      <a:solidFill>
        <a:srgbClr val="D9D9D9"/>
      </a:solidFill>
      <a:prstDash val="solid"/>
      <a:round/>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5" Type="http://schemas.openxmlformats.org/officeDocument/2006/relationships/chart" Target="../charts/chart20.xml"/><Relationship Id="rId4"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twoCellAnchor editAs="oneCell">
    <xdr:from>
      <xdr:col>0</xdr:col>
      <xdr:colOff>502920</xdr:colOff>
      <xdr:row>17</xdr:row>
      <xdr:rowOff>69120</xdr:rowOff>
    </xdr:from>
    <xdr:to>
      <xdr:col>6</xdr:col>
      <xdr:colOff>332280</xdr:colOff>
      <xdr:row>33</xdr:row>
      <xdr:rowOff>28080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39908</xdr:colOff>
      <xdr:row>5</xdr:row>
      <xdr:rowOff>28762</xdr:rowOff>
    </xdr:from>
    <xdr:to>
      <xdr:col>27</xdr:col>
      <xdr:colOff>717176</xdr:colOff>
      <xdr:row>17</xdr:row>
      <xdr:rowOff>107203</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429840</xdr:colOff>
      <xdr:row>17</xdr:row>
      <xdr:rowOff>83520</xdr:rowOff>
    </xdr:from>
    <xdr:to>
      <xdr:col>11</xdr:col>
      <xdr:colOff>789120</xdr:colOff>
      <xdr:row>33</xdr:row>
      <xdr:rowOff>7056</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563400</xdr:colOff>
      <xdr:row>17</xdr:row>
      <xdr:rowOff>160200</xdr:rowOff>
    </xdr:from>
    <xdr:to>
      <xdr:col>23</xdr:col>
      <xdr:colOff>101880</xdr:colOff>
      <xdr:row>32</xdr:row>
      <xdr:rowOff>126950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23</xdr:col>
      <xdr:colOff>189720</xdr:colOff>
      <xdr:row>18</xdr:row>
      <xdr:rowOff>17640</xdr:rowOff>
    </xdr:from>
    <xdr:to>
      <xdr:col>27</xdr:col>
      <xdr:colOff>762000</xdr:colOff>
      <xdr:row>32</xdr:row>
      <xdr:rowOff>48175</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6</xdr:col>
      <xdr:colOff>44823</xdr:colOff>
      <xdr:row>10</xdr:row>
      <xdr:rowOff>212913</xdr:rowOff>
    </xdr:from>
    <xdr:to>
      <xdr:col>10</xdr:col>
      <xdr:colOff>541058</xdr:colOff>
      <xdr:row>17</xdr:row>
      <xdr:rowOff>25588</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11</xdr:col>
      <xdr:colOff>859680</xdr:colOff>
      <xdr:row>17</xdr:row>
      <xdr:rowOff>143640</xdr:rowOff>
    </xdr:from>
    <xdr:to>
      <xdr:col>17</xdr:col>
      <xdr:colOff>487800</xdr:colOff>
      <xdr:row>32</xdr:row>
      <xdr:rowOff>161640</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462508</xdr:colOff>
      <xdr:row>33</xdr:row>
      <xdr:rowOff>66554</xdr:rowOff>
    </xdr:from>
    <xdr:to>
      <xdr:col>11</xdr:col>
      <xdr:colOff>671668</xdr:colOff>
      <xdr:row>56</xdr:row>
      <xdr:rowOff>36792</xdr:rowOff>
    </xdr:to>
    <xdr:graphicFrame macro="">
      <xdr:nvGraphicFramePr>
        <xdr:cNvPr id="9" name="Chart 8">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11</xdr:col>
      <xdr:colOff>816840</xdr:colOff>
      <xdr:row>33</xdr:row>
      <xdr:rowOff>45360</xdr:rowOff>
    </xdr:from>
    <xdr:to>
      <xdr:col>20</xdr:col>
      <xdr:colOff>144000</xdr:colOff>
      <xdr:row>56</xdr:row>
      <xdr:rowOff>45720</xdr:rowOff>
    </xdr:to>
    <xdr:graphicFrame macro="">
      <xdr:nvGraphicFramePr>
        <xdr:cNvPr id="10" name="Chart 9">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0</xdr:col>
      <xdr:colOff>442800</xdr:colOff>
      <xdr:row>56</xdr:row>
      <xdr:rowOff>67680</xdr:rowOff>
    </xdr:from>
    <xdr:to>
      <xdr:col>11</xdr:col>
      <xdr:colOff>717350</xdr:colOff>
      <xdr:row>79</xdr:row>
      <xdr:rowOff>104760</xdr:rowOff>
    </xdr:to>
    <xdr:graphicFrame macro="">
      <xdr:nvGraphicFramePr>
        <xdr:cNvPr id="11" name="Chart 10">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11</xdr:col>
      <xdr:colOff>815040</xdr:colOff>
      <xdr:row>56</xdr:row>
      <xdr:rowOff>131760</xdr:rowOff>
    </xdr:from>
    <xdr:to>
      <xdr:col>20</xdr:col>
      <xdr:colOff>142330</xdr:colOff>
      <xdr:row>79</xdr:row>
      <xdr:rowOff>106920</xdr:rowOff>
    </xdr:to>
    <xdr:graphicFrame macro="">
      <xdr:nvGraphicFramePr>
        <xdr:cNvPr id="12" name="Chart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20</xdr:col>
      <xdr:colOff>235323</xdr:colOff>
      <xdr:row>53</xdr:row>
      <xdr:rowOff>19570</xdr:rowOff>
    </xdr:from>
    <xdr:to>
      <xdr:col>25</xdr:col>
      <xdr:colOff>395228</xdr:colOff>
      <xdr:row>60</xdr:row>
      <xdr:rowOff>165588</xdr:rowOff>
    </xdr:to>
    <xdr:graphicFrame macro="">
      <xdr:nvGraphicFramePr>
        <xdr:cNvPr id="13" name="Chart 12">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25</xdr:col>
      <xdr:colOff>380938</xdr:colOff>
      <xdr:row>52</xdr:row>
      <xdr:rowOff>75600</xdr:rowOff>
    </xdr:from>
    <xdr:to>
      <xdr:col>28</xdr:col>
      <xdr:colOff>930958</xdr:colOff>
      <xdr:row>60</xdr:row>
      <xdr:rowOff>42323</xdr:rowOff>
    </xdr:to>
    <xdr:graphicFrame macro="">
      <xdr:nvGraphicFramePr>
        <xdr:cNvPr id="14" name="Chart 13">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25</xdr:col>
      <xdr:colOff>571500</xdr:colOff>
      <xdr:row>60</xdr:row>
      <xdr:rowOff>37348</xdr:rowOff>
    </xdr:from>
    <xdr:to>
      <xdr:col>29</xdr:col>
      <xdr:colOff>126287</xdr:colOff>
      <xdr:row>74</xdr:row>
      <xdr:rowOff>32237</xdr:rowOff>
    </xdr:to>
    <xdr:graphicFrame macro="">
      <xdr:nvGraphicFramePr>
        <xdr:cNvPr id="15" name="Chart 14">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20</xdr:col>
      <xdr:colOff>369732</xdr:colOff>
      <xdr:row>60</xdr:row>
      <xdr:rowOff>14936</xdr:rowOff>
    </xdr:from>
    <xdr:to>
      <xdr:col>25</xdr:col>
      <xdr:colOff>516340</xdr:colOff>
      <xdr:row>74</xdr:row>
      <xdr:rowOff>9825</xdr:rowOff>
    </xdr:to>
    <xdr:graphicFrame macro="">
      <xdr:nvGraphicFramePr>
        <xdr:cNvPr id="16" name="Chart 15">
          <a:extLst>
            <a:ext uri="{FF2B5EF4-FFF2-40B4-BE49-F238E27FC236}">
              <a16:creationId xmlns:a16="http://schemas.microsoft.com/office/drawing/2014/main" id="{00000000-0008-0000-01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20</xdr:col>
      <xdr:colOff>199091</xdr:colOff>
      <xdr:row>43</xdr:row>
      <xdr:rowOff>56030</xdr:rowOff>
    </xdr:from>
    <xdr:to>
      <xdr:col>24</xdr:col>
      <xdr:colOff>560294</xdr:colOff>
      <xdr:row>52</xdr:row>
      <xdr:rowOff>96558</xdr:rowOff>
    </xdr:to>
    <mc:AlternateContent xmlns:mc="http://schemas.openxmlformats.org/markup-compatibility/2006">
      <mc:Choice xmlns:a14="http://schemas.microsoft.com/office/drawing/2010/main" Requires="a14">
        <xdr:graphicFrame macro="">
          <xdr:nvGraphicFramePr>
            <xdr:cNvPr id="21" name="Slicer_Region">
              <a:extLst>
                <a:ext uri="{FF2B5EF4-FFF2-40B4-BE49-F238E27FC236}">
                  <a16:creationId xmlns:a16="http://schemas.microsoft.com/office/drawing/2014/main" id="{94DE6085-D673-3D62-77C5-9811FE92E558}"/>
                </a:ext>
              </a:extLst>
            </xdr:cNvPr>
            <xdr:cNvGraphicFramePr/>
          </xdr:nvGraphicFramePr>
          <xdr:xfrm>
            <a:off x="0" y="0"/>
            <a:ext cx="0" cy="0"/>
          </xdr:xfrm>
          <a:graphic>
            <a:graphicData uri="http://schemas.microsoft.com/office/drawing/2010/slicer">
              <sle:slicer xmlns:sle="http://schemas.microsoft.com/office/drawing/2010/slicer" name="Slicer_Region"/>
            </a:graphicData>
          </a:graphic>
        </xdr:graphicFrame>
      </mc:Choice>
      <mc:Fallback>
        <xdr:sp macro="" textlink="">
          <xdr:nvSpPr>
            <xdr:cNvPr id="0" name=""/>
            <xdr:cNvSpPr>
              <a:spLocks noTextEdit="1"/>
            </xdr:cNvSpPr>
          </xdr:nvSpPr>
          <xdr:spPr>
            <a:xfrm>
              <a:off x="13089031" y="8213912"/>
              <a:ext cx="2781673" cy="16541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77880</xdr:colOff>
      <xdr:row>43</xdr:row>
      <xdr:rowOff>78442</xdr:rowOff>
    </xdr:from>
    <xdr:to>
      <xdr:col>27</xdr:col>
      <xdr:colOff>750233</xdr:colOff>
      <xdr:row>52</xdr:row>
      <xdr:rowOff>112059</xdr:rowOff>
    </xdr:to>
    <mc:AlternateContent xmlns:mc="http://schemas.openxmlformats.org/markup-compatibility/2006">
      <mc:Choice xmlns:a14="http://schemas.microsoft.com/office/drawing/2010/main" Requires="a14">
        <xdr:graphicFrame macro="">
          <xdr:nvGraphicFramePr>
            <xdr:cNvPr id="22" name="Slicer_Category">
              <a:extLst>
                <a:ext uri="{FF2B5EF4-FFF2-40B4-BE49-F238E27FC236}">
                  <a16:creationId xmlns:a16="http://schemas.microsoft.com/office/drawing/2014/main" id="{9FD11073-2D59-40E6-8F7E-5546C8C90253}"/>
                </a:ext>
              </a:extLst>
            </xdr:cNvPr>
            <xdr:cNvGraphicFramePr/>
          </xdr:nvGraphicFramePr>
          <xdr:xfrm>
            <a:off x="0" y="0"/>
            <a:ext cx="0" cy="0"/>
          </xdr:xfrm>
          <a:graphic>
            <a:graphicData uri="http://schemas.microsoft.com/office/drawing/2010/slicer">
              <sle:slicer xmlns:sle="http://schemas.microsoft.com/office/drawing/2010/slicer" name="Slicer_Category"/>
            </a:graphicData>
          </a:graphic>
        </xdr:graphicFrame>
      </mc:Choice>
      <mc:Fallback>
        <xdr:sp macro="" textlink="">
          <xdr:nvSpPr>
            <xdr:cNvPr id="0" name=""/>
            <xdr:cNvSpPr>
              <a:spLocks noTextEdit="1"/>
            </xdr:cNvSpPr>
          </xdr:nvSpPr>
          <xdr:spPr>
            <a:xfrm>
              <a:off x="15990233" y="8236324"/>
              <a:ext cx="2289175" cy="164726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104028</xdr:colOff>
      <xdr:row>32</xdr:row>
      <xdr:rowOff>164913</xdr:rowOff>
    </xdr:from>
    <xdr:to>
      <xdr:col>27</xdr:col>
      <xdr:colOff>773206</xdr:colOff>
      <xdr:row>43</xdr:row>
      <xdr:rowOff>0</xdr:rowOff>
    </xdr:to>
    <mc:AlternateContent xmlns:mc="http://schemas.openxmlformats.org/markup-compatibility/2006">
      <mc:Choice xmlns:a14="http://schemas.microsoft.com/office/drawing/2010/main" Requires="a14">
        <xdr:graphicFrame macro="">
          <xdr:nvGraphicFramePr>
            <xdr:cNvPr id="23" name="Slicer_Store">
              <a:extLst>
                <a:ext uri="{FF2B5EF4-FFF2-40B4-BE49-F238E27FC236}">
                  <a16:creationId xmlns:a16="http://schemas.microsoft.com/office/drawing/2014/main" id="{423782D6-4CC8-6D3D-FEC6-772826A45B28}"/>
                </a:ext>
              </a:extLst>
            </xdr:cNvPr>
            <xdr:cNvGraphicFramePr/>
          </xdr:nvGraphicFramePr>
          <xdr:xfrm>
            <a:off x="0" y="0"/>
            <a:ext cx="0" cy="0"/>
          </xdr:xfrm>
          <a:graphic>
            <a:graphicData uri="http://schemas.microsoft.com/office/drawing/2010/slicer">
              <sle:slicer xmlns:sle="http://schemas.microsoft.com/office/drawing/2010/slicer" name="Slicer_Store"/>
            </a:graphicData>
          </a:graphic>
        </xdr:graphicFrame>
      </mc:Choice>
      <mc:Fallback>
        <xdr:sp macro="" textlink="">
          <xdr:nvSpPr>
            <xdr:cNvPr id="0" name=""/>
            <xdr:cNvSpPr>
              <a:spLocks noTextEdit="1"/>
            </xdr:cNvSpPr>
          </xdr:nvSpPr>
          <xdr:spPr>
            <a:xfrm>
              <a:off x="16019556" y="6347385"/>
              <a:ext cx="2276475" cy="181049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208616</xdr:colOff>
      <xdr:row>33</xdr:row>
      <xdr:rowOff>11206</xdr:rowOff>
    </xdr:from>
    <xdr:to>
      <xdr:col>24</xdr:col>
      <xdr:colOff>582146</xdr:colOff>
      <xdr:row>43</xdr:row>
      <xdr:rowOff>11206</xdr:rowOff>
    </xdr:to>
    <mc:AlternateContent xmlns:mc="http://schemas.openxmlformats.org/markup-compatibility/2006">
      <mc:Choice xmlns:a14="http://schemas.microsoft.com/office/drawing/2010/main" Requires="a14">
        <xdr:graphicFrame macro="">
          <xdr:nvGraphicFramePr>
            <xdr:cNvPr id="24" name="Slicer_Product">
              <a:extLst>
                <a:ext uri="{FF2B5EF4-FFF2-40B4-BE49-F238E27FC236}">
                  <a16:creationId xmlns:a16="http://schemas.microsoft.com/office/drawing/2014/main" id="{A50C95B4-1478-F6FE-8743-7E6552B3F9AA}"/>
                </a:ext>
              </a:extLst>
            </xdr:cNvPr>
            <xdr:cNvGraphicFramePr/>
          </xdr:nvGraphicFramePr>
          <xdr:xfrm>
            <a:off x="0" y="0"/>
            <a:ext cx="0" cy="0"/>
          </xdr:xfrm>
          <a:graphic>
            <a:graphicData uri="http://schemas.microsoft.com/office/drawing/2010/slicer">
              <sle:slicer xmlns:sle="http://schemas.microsoft.com/office/drawing/2010/slicer" name="Slicer_Product"/>
            </a:graphicData>
          </a:graphic>
        </xdr:graphicFrame>
      </mc:Choice>
      <mc:Fallback>
        <xdr:sp macro="" textlink="">
          <xdr:nvSpPr>
            <xdr:cNvPr id="0" name=""/>
            <xdr:cNvSpPr>
              <a:spLocks noTextEdit="1"/>
            </xdr:cNvSpPr>
          </xdr:nvSpPr>
          <xdr:spPr>
            <a:xfrm>
              <a:off x="13095381" y="6372972"/>
              <a:ext cx="2790825" cy="179294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7</xdr:row>
      <xdr:rowOff>66600</xdr:rowOff>
    </xdr:from>
    <xdr:to>
      <xdr:col>10</xdr:col>
      <xdr:colOff>363960</xdr:colOff>
      <xdr:row>29</xdr:row>
      <xdr:rowOff>124560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399960</xdr:colOff>
      <xdr:row>7</xdr:row>
      <xdr:rowOff>47520</xdr:rowOff>
    </xdr:from>
    <xdr:to>
      <xdr:col>20</xdr:col>
      <xdr:colOff>363600</xdr:colOff>
      <xdr:row>29</xdr:row>
      <xdr:rowOff>124560</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29</xdr:row>
      <xdr:rowOff>171360</xdr:rowOff>
    </xdr:from>
    <xdr:to>
      <xdr:col>10</xdr:col>
      <xdr:colOff>363960</xdr:colOff>
      <xdr:row>49</xdr:row>
      <xdr:rowOff>121680</xdr:rowOff>
    </xdr:to>
    <xdr:graphicFrame macro="">
      <xdr:nvGraphicFramePr>
        <xdr:cNvPr id="4" name="Chart 3">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380880</xdr:colOff>
      <xdr:row>30</xdr:row>
      <xdr:rowOff>38160</xdr:rowOff>
    </xdr:from>
    <xdr:to>
      <xdr:col>20</xdr:col>
      <xdr:colOff>361080</xdr:colOff>
      <xdr:row>49</xdr:row>
      <xdr:rowOff>122040</xdr:rowOff>
    </xdr:to>
    <xdr:graphicFrame macro="">
      <xdr:nvGraphicFramePr>
        <xdr:cNvPr id="5" name="Chart 4">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49</xdr:row>
      <xdr:rowOff>162000</xdr:rowOff>
    </xdr:from>
    <xdr:to>
      <xdr:col>10</xdr:col>
      <xdr:colOff>46800</xdr:colOff>
      <xdr:row>72</xdr:row>
      <xdr:rowOff>105480</xdr:rowOff>
    </xdr:to>
    <xdr:graphicFrame macro="">
      <xdr:nvGraphicFramePr>
        <xdr:cNvPr id="6" name="Chart 5">
          <a:extLst>
            <a:ext uri="{FF2B5EF4-FFF2-40B4-BE49-F238E27FC236}">
              <a16:creationId xmlns:a16="http://schemas.microsoft.com/office/drawing/2014/main" id="{00000000-0008-0000-0C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Date="0" createdVersion="3" recordCount="26" xr:uid="{00000000-000A-0000-FFFF-FFFF01000000}">
  <cacheSource type="worksheet">
    <worksheetSource ref="A1:J27" sheet="Sales"/>
  </cacheSource>
  <cacheFields count="10">
    <cacheField name="Date" numFmtId="0">
      <sharedItems containsSemiMixedTypes="0" containsNonDate="0" containsDate="1" containsString="0" minDate="2025-07-01T00:00:00" maxDate="2025-07-10T00:00:00" count="10">
        <d v="2025-07-01T00:00:00"/>
        <d v="2025-07-02T00:00:00"/>
        <d v="2025-07-03T00:00:00"/>
        <d v="2025-07-04T00:00:00"/>
        <d v="2025-07-05T00:00:00"/>
        <d v="2025-07-06T00:00:00"/>
        <d v="2025-07-07T00:00:00"/>
        <d v="2025-07-08T00:00:00"/>
        <d v="2025-07-09T00:00:00"/>
        <d v="2025-07-10T00:00:00"/>
      </sharedItems>
    </cacheField>
    <cacheField name="ProductID" numFmtId="0">
      <sharedItems count="5">
        <s v="P101"/>
        <s v="P102"/>
        <s v="P103"/>
        <s v="P104"/>
        <s v="P105"/>
      </sharedItems>
    </cacheField>
    <cacheField name="StoreID" numFmtId="0">
      <sharedItems count="3">
        <s v="S1"/>
        <s v="S2"/>
        <s v="S3"/>
      </sharedItems>
    </cacheField>
    <cacheField name="Units" numFmtId="0">
      <sharedItems containsSemiMixedTypes="0" containsString="0" containsNumber="1" containsInteger="1" minValue="6" maxValue="59" count="21">
        <n v="6"/>
        <n v="8"/>
        <n v="10"/>
        <n v="11"/>
        <n v="12"/>
        <n v="14"/>
        <n v="15"/>
        <n v="16"/>
        <n v="18"/>
        <n v="19"/>
        <n v="20"/>
        <n v="22"/>
        <n v="25"/>
        <n v="26"/>
        <n v="28"/>
        <n v="30"/>
        <n v="35"/>
        <n v="40"/>
        <n v="45"/>
        <n v="50"/>
        <n v="59"/>
      </sharedItems>
    </cacheField>
    <cacheField name="Revenue" numFmtId="0">
      <sharedItems containsSemiMixedTypes="0" containsString="0" containsNumber="1" containsInteger="1" minValue="240" maxValue="4400" count="25">
        <n v="240"/>
        <n v="300"/>
        <n v="360"/>
        <n v="390"/>
        <n v="420"/>
        <n v="480"/>
        <n v="525"/>
        <n v="600"/>
        <n v="660"/>
        <n v="700"/>
        <n v="750"/>
        <n v="950"/>
        <n v="1250"/>
        <n v="1320"/>
        <n v="1440"/>
        <n v="1680"/>
        <n v="1760"/>
        <n v="1770"/>
        <n v="1920"/>
        <n v="2160"/>
        <n v="2250"/>
        <n v="2400"/>
        <n v="2420"/>
        <n v="3600"/>
        <n v="4400"/>
      </sharedItems>
    </cacheField>
    <cacheField name="ProductName" numFmtId="0">
      <sharedItems count="5">
        <s v="Folder"/>
        <s v="Marker"/>
        <s v="Notebook"/>
        <s v="Pen"/>
        <s v="Stapler"/>
      </sharedItems>
    </cacheField>
    <cacheField name="Category" numFmtId="0">
      <sharedItems count="2">
        <s v="Office Supplies"/>
        <s v="Stationery"/>
      </sharedItems>
    </cacheField>
    <cacheField name="StoreName" numFmtId="0">
      <sharedItems count="3">
        <s v="Bengaluru MG Rd"/>
        <s v="Delhi Connaught"/>
        <s v="Mumbai Central"/>
      </sharedItems>
    </cacheField>
    <cacheField name="City" numFmtId="0">
      <sharedItems count="3">
        <s v="Bengaluru"/>
        <s v="Delhi"/>
        <s v="Mumbai"/>
      </sharedItems>
    </cacheField>
    <cacheField name="Region" numFmtId="0">
      <sharedItems count="3">
        <s v="North"/>
        <s v="South"/>
        <s v="West"/>
      </sharedItems>
    </cacheField>
  </cacheFields>
  <extLst>
    <ext xmlns:x14="http://schemas.microsoft.com/office/spreadsheetml/2009/9/main" uri="{725AE2AE-9491-48be-B2B4-4EB974FC3084}">
      <x14:pivotCacheDefinition pivotCacheId="1877991136"/>
    </ext>
  </extLst>
</pivotCacheDefinition>
</file>

<file path=xl/pivotCache/pivotCacheRecords1.xml><?xml version="1.0" encoding="utf-8"?>
<pivotCacheRecords xmlns="http://schemas.openxmlformats.org/spreadsheetml/2006/main" count="26">
  <r>
    <x v="0"/>
    <x v="0"/>
    <x v="0"/>
    <x v="4"/>
    <x v="14"/>
    <x v="2"/>
    <x v="1"/>
    <x v="2"/>
    <x v="2"/>
    <x v="2"/>
  </r>
  <r>
    <x v="0"/>
    <x v="1"/>
    <x v="1"/>
    <x v="16"/>
    <x v="6"/>
    <x v="3"/>
    <x v="1"/>
    <x v="0"/>
    <x v="0"/>
    <x v="1"/>
  </r>
  <r>
    <x v="1"/>
    <x v="2"/>
    <x v="2"/>
    <x v="1"/>
    <x v="16"/>
    <x v="4"/>
    <x v="0"/>
    <x v="1"/>
    <x v="1"/>
    <x v="0"/>
  </r>
  <r>
    <x v="1"/>
    <x v="3"/>
    <x v="0"/>
    <x v="11"/>
    <x v="8"/>
    <x v="1"/>
    <x v="1"/>
    <x v="2"/>
    <x v="2"/>
    <x v="2"/>
  </r>
  <r>
    <x v="2"/>
    <x v="4"/>
    <x v="1"/>
    <x v="6"/>
    <x v="10"/>
    <x v="0"/>
    <x v="0"/>
    <x v="0"/>
    <x v="0"/>
    <x v="1"/>
  </r>
  <r>
    <x v="2"/>
    <x v="0"/>
    <x v="2"/>
    <x v="8"/>
    <x v="19"/>
    <x v="2"/>
    <x v="1"/>
    <x v="1"/>
    <x v="1"/>
    <x v="0"/>
  </r>
  <r>
    <x v="3"/>
    <x v="1"/>
    <x v="0"/>
    <x v="17"/>
    <x v="7"/>
    <x v="3"/>
    <x v="1"/>
    <x v="2"/>
    <x v="2"/>
    <x v="2"/>
  </r>
  <r>
    <x v="3"/>
    <x v="3"/>
    <x v="1"/>
    <x v="2"/>
    <x v="1"/>
    <x v="1"/>
    <x v="1"/>
    <x v="0"/>
    <x v="0"/>
    <x v="1"/>
  </r>
  <r>
    <x v="4"/>
    <x v="2"/>
    <x v="2"/>
    <x v="0"/>
    <x v="13"/>
    <x v="4"/>
    <x v="0"/>
    <x v="1"/>
    <x v="1"/>
    <x v="0"/>
  </r>
  <r>
    <x v="4"/>
    <x v="4"/>
    <x v="0"/>
    <x v="12"/>
    <x v="12"/>
    <x v="0"/>
    <x v="0"/>
    <x v="2"/>
    <x v="2"/>
    <x v="2"/>
  </r>
  <r>
    <x v="5"/>
    <x v="0"/>
    <x v="1"/>
    <x v="15"/>
    <x v="23"/>
    <x v="2"/>
    <x v="1"/>
    <x v="0"/>
    <x v="0"/>
    <x v="1"/>
  </r>
  <r>
    <x v="5"/>
    <x v="1"/>
    <x v="2"/>
    <x v="14"/>
    <x v="4"/>
    <x v="3"/>
    <x v="1"/>
    <x v="1"/>
    <x v="1"/>
    <x v="0"/>
  </r>
  <r>
    <x v="6"/>
    <x v="3"/>
    <x v="0"/>
    <x v="4"/>
    <x v="2"/>
    <x v="1"/>
    <x v="1"/>
    <x v="2"/>
    <x v="2"/>
    <x v="2"/>
  </r>
  <r>
    <x v="6"/>
    <x v="2"/>
    <x v="1"/>
    <x v="10"/>
    <x v="24"/>
    <x v="4"/>
    <x v="0"/>
    <x v="0"/>
    <x v="0"/>
    <x v="1"/>
  </r>
  <r>
    <x v="7"/>
    <x v="4"/>
    <x v="2"/>
    <x v="5"/>
    <x v="9"/>
    <x v="0"/>
    <x v="0"/>
    <x v="1"/>
    <x v="1"/>
    <x v="0"/>
  </r>
  <r>
    <x v="7"/>
    <x v="0"/>
    <x v="0"/>
    <x v="7"/>
    <x v="18"/>
    <x v="2"/>
    <x v="1"/>
    <x v="2"/>
    <x v="2"/>
    <x v="2"/>
  </r>
  <r>
    <x v="8"/>
    <x v="1"/>
    <x v="1"/>
    <x v="19"/>
    <x v="10"/>
    <x v="3"/>
    <x v="1"/>
    <x v="0"/>
    <x v="0"/>
    <x v="1"/>
  </r>
  <r>
    <x v="8"/>
    <x v="3"/>
    <x v="2"/>
    <x v="1"/>
    <x v="0"/>
    <x v="1"/>
    <x v="1"/>
    <x v="1"/>
    <x v="1"/>
    <x v="0"/>
  </r>
  <r>
    <x v="9"/>
    <x v="2"/>
    <x v="0"/>
    <x v="3"/>
    <x v="22"/>
    <x v="4"/>
    <x v="0"/>
    <x v="2"/>
    <x v="2"/>
    <x v="2"/>
  </r>
  <r>
    <x v="9"/>
    <x v="4"/>
    <x v="1"/>
    <x v="9"/>
    <x v="11"/>
    <x v="0"/>
    <x v="0"/>
    <x v="0"/>
    <x v="0"/>
    <x v="1"/>
  </r>
  <r>
    <x v="7"/>
    <x v="0"/>
    <x v="2"/>
    <x v="5"/>
    <x v="15"/>
    <x v="2"/>
    <x v="1"/>
    <x v="1"/>
    <x v="1"/>
    <x v="0"/>
  </r>
  <r>
    <x v="7"/>
    <x v="4"/>
    <x v="0"/>
    <x v="18"/>
    <x v="20"/>
    <x v="0"/>
    <x v="0"/>
    <x v="2"/>
    <x v="2"/>
    <x v="2"/>
  </r>
  <r>
    <x v="8"/>
    <x v="3"/>
    <x v="1"/>
    <x v="20"/>
    <x v="17"/>
    <x v="1"/>
    <x v="1"/>
    <x v="0"/>
    <x v="0"/>
    <x v="1"/>
  </r>
  <r>
    <x v="8"/>
    <x v="1"/>
    <x v="2"/>
    <x v="13"/>
    <x v="3"/>
    <x v="3"/>
    <x v="1"/>
    <x v="1"/>
    <x v="1"/>
    <x v="0"/>
  </r>
  <r>
    <x v="9"/>
    <x v="3"/>
    <x v="0"/>
    <x v="7"/>
    <x v="5"/>
    <x v="1"/>
    <x v="1"/>
    <x v="2"/>
    <x v="2"/>
    <x v="2"/>
  </r>
  <r>
    <x v="9"/>
    <x v="0"/>
    <x v="1"/>
    <x v="10"/>
    <x v="21"/>
    <x v="2"/>
    <x v="1"/>
    <x v="0"/>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PT_ProductName" cacheId="0" applyNumberFormats="0" applyBorderFormats="0" applyFontFormats="0" applyPatternFormats="0" applyAlignmentFormats="0" applyWidthHeightFormats="0" dataCaption="Values" updatedVersion="8" showDrill="0" itemPrintTitles="1" indent="0" compact="0" outline="1" outlineData="1" compactData="0" multipleFieldFilters="0">
  <location ref="A5:B11" firstHeaderRow="1" firstDataRow="1" firstDataCol="1"/>
  <pivotFields count="10">
    <pivotField compact="0" showAll="0"/>
    <pivotField compact="0" showAll="0"/>
    <pivotField compact="0" showAll="0"/>
    <pivotField compact="0" showAll="0"/>
    <pivotField dataField="1" compact="0" showAll="0"/>
    <pivotField axis="axisRow" compact="0" showAll="0" defaultSubtotal="0">
      <items count="5">
        <item x="0"/>
        <item x="1"/>
        <item x="2"/>
        <item x="3"/>
        <item x="4"/>
      </items>
    </pivotField>
    <pivotField compact="0" showAll="0">
      <items count="3">
        <item x="0"/>
        <item x="1"/>
        <item t="default"/>
      </items>
    </pivotField>
    <pivotField compact="0" showAll="0">
      <items count="4">
        <item x="0"/>
        <item x="1"/>
        <item x="2"/>
        <item t="default"/>
      </items>
    </pivotField>
    <pivotField compact="0" showAll="0"/>
    <pivotField compact="0" showAll="0">
      <items count="4">
        <item x="0"/>
        <item x="1"/>
        <item x="2"/>
        <item t="default"/>
      </items>
    </pivotField>
  </pivotFields>
  <rowFields count="1">
    <field x="5"/>
  </rowFields>
  <rowItems count="6">
    <i>
      <x/>
    </i>
    <i>
      <x v="1"/>
    </i>
    <i>
      <x v="2"/>
    </i>
    <i>
      <x v="3"/>
    </i>
    <i>
      <x v="4"/>
    </i>
    <i t="grand">
      <x/>
    </i>
  </rowItems>
  <colItems count="1">
    <i/>
  </colItems>
  <dataFields count="1">
    <dataField name="Sum - Revenue" fld="4" baseField="0" baseItem="0" numFmtId="166"/>
  </dataFields>
  <formats count="4">
    <format dxfId="19">
      <pivotArea type="all" dataOnly="0" outline="0" fieldPosition="0"/>
    </format>
    <format dxfId="18">
      <pivotArea outline="0" fieldPosition="0"/>
    </format>
    <format dxfId="17">
      <pivotArea field="5" type="button" dataOnly="0" labelOnly="1" outline="0" axis="axisRow" fieldPosition="0"/>
    </format>
    <format dxfId="16">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PT_Region" cacheId="0" applyNumberFormats="0" applyBorderFormats="0" applyFontFormats="0" applyPatternFormats="0" applyAlignmentFormats="0" applyWidthHeightFormats="0" dataCaption="Values" updatedVersion="8" showDrill="0" itemPrintTitles="1" indent="0" compact="0" outline="1" outlineData="1" compactData="0" multipleFieldFilters="0">
  <location ref="A5:B9" firstHeaderRow="1" firstDataRow="1" firstDataCol="1"/>
  <pivotFields count="10">
    <pivotField compact="0" showAll="0"/>
    <pivotField compact="0" showAll="0"/>
    <pivotField compact="0" showAll="0"/>
    <pivotField compact="0" showAll="0"/>
    <pivotField dataField="1" compact="0" showAll="0"/>
    <pivotField compact="0" showAll="0">
      <items count="6">
        <item x="0"/>
        <item x="1"/>
        <item x="2"/>
        <item x="3"/>
        <item x="4"/>
        <item t="default"/>
      </items>
    </pivotField>
    <pivotField compact="0" showAll="0">
      <items count="3">
        <item x="0"/>
        <item x="1"/>
        <item t="default"/>
      </items>
    </pivotField>
    <pivotField compact="0" showAll="0">
      <items count="4">
        <item x="0"/>
        <item x="1"/>
        <item x="2"/>
        <item t="default"/>
      </items>
    </pivotField>
    <pivotField compact="0" showAll="0"/>
    <pivotField axis="axisRow" compact="0" showAll="0" defaultSubtotal="0">
      <items count="3">
        <item x="0"/>
        <item x="1"/>
        <item x="2"/>
      </items>
    </pivotField>
  </pivotFields>
  <rowFields count="1">
    <field x="9"/>
  </rowFields>
  <rowItems count="4">
    <i>
      <x/>
    </i>
    <i>
      <x v="1"/>
    </i>
    <i>
      <x v="2"/>
    </i>
    <i t="grand">
      <x/>
    </i>
  </rowItems>
  <colItems count="1">
    <i/>
  </colItems>
  <dataFields count="1">
    <dataField name="Sum - Revenue" fld="4" baseField="0" baseItem="0" numFmtId="166"/>
  </dataFields>
  <formats count="4">
    <format dxfId="14">
      <pivotArea type="all" dataOnly="0" outline="0" fieldPosition="0"/>
    </format>
    <format dxfId="13">
      <pivotArea outline="0" fieldPosition="0"/>
    </format>
    <format dxfId="12">
      <pivotArea field="9" type="button" dataOnly="0" labelOnly="1" outline="0" axis="axisRow" fieldPosition="0"/>
    </format>
    <format dxfId="11">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F00-000002000000}" name="PT_StoreName" cacheId="0" applyNumberFormats="0" applyBorderFormats="0" applyFontFormats="0" applyPatternFormats="0" applyAlignmentFormats="0" applyWidthHeightFormats="0" dataCaption="Values" updatedVersion="8" showDrill="0" itemPrintTitles="1" indent="0" compact="0" outline="1" outlineData="1" compactData="0" multipleFieldFilters="0">
  <location ref="A5:B9" firstHeaderRow="1" firstDataRow="1" firstDataCol="1"/>
  <pivotFields count="10">
    <pivotField compact="0" showAll="0"/>
    <pivotField compact="0" showAll="0"/>
    <pivotField compact="0" showAll="0"/>
    <pivotField compact="0" showAll="0"/>
    <pivotField dataField="1" compact="0" showAll="0"/>
    <pivotField compact="0" showAll="0">
      <items count="6">
        <item x="0"/>
        <item x="1"/>
        <item x="2"/>
        <item x="3"/>
        <item x="4"/>
        <item t="default"/>
      </items>
    </pivotField>
    <pivotField compact="0" showAll="0">
      <items count="3">
        <item x="0"/>
        <item x="1"/>
        <item t="default"/>
      </items>
    </pivotField>
    <pivotField axis="axisRow" compact="0" showAll="0" defaultSubtotal="0">
      <items count="3">
        <item x="0"/>
        <item x="1"/>
        <item x="2"/>
      </items>
    </pivotField>
    <pivotField compact="0" showAll="0"/>
    <pivotField compact="0" showAll="0">
      <items count="4">
        <item x="0"/>
        <item x="1"/>
        <item x="2"/>
        <item t="default"/>
      </items>
    </pivotField>
  </pivotFields>
  <rowFields count="1">
    <field x="7"/>
  </rowFields>
  <rowItems count="4">
    <i>
      <x/>
    </i>
    <i>
      <x v="1"/>
    </i>
    <i>
      <x v="2"/>
    </i>
    <i t="grand">
      <x/>
    </i>
  </rowItems>
  <colItems count="1">
    <i/>
  </colItems>
  <dataFields count="1">
    <dataField name="Sum - Revenue" fld="4" baseField="0" baseItem="0" numFmtId="166"/>
  </dataFields>
  <formats count="4">
    <format dxfId="9">
      <pivotArea type="all" dataOnly="0" outline="0" fieldPosition="0"/>
    </format>
    <format dxfId="8">
      <pivotArea outline="0" fieldPosition="0"/>
    </format>
    <format dxfId="7">
      <pivotArea field="7" type="button" dataOnly="0" labelOnly="1" outline="0" axis="axisRow" fieldPosition="0"/>
    </format>
    <format dxfId="6">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1000-000003000000}" name="PT_Date" cacheId="0" applyNumberFormats="0" applyBorderFormats="0" applyFontFormats="0" applyPatternFormats="0" applyAlignmentFormats="0" applyWidthHeightFormats="0" dataCaption="Values" updatedVersion="8" showDrill="0" itemPrintTitles="1" indent="0" compact="0" outline="1" outlineData="1" compactData="0" multipleFieldFilters="0">
  <location ref="A5:B16" firstHeaderRow="1" firstDataRow="1" firstDataCol="1"/>
  <pivotFields count="10">
    <pivotField axis="axisRow" compact="0" showAll="0" defaultSubtotal="0">
      <items count="10">
        <item x="0"/>
        <item x="1"/>
        <item x="2"/>
        <item x="3"/>
        <item x="4"/>
        <item x="5"/>
        <item x="6"/>
        <item x="7"/>
        <item x="8"/>
        <item x="9"/>
      </items>
    </pivotField>
    <pivotField compact="0" showAll="0"/>
    <pivotField compact="0" showAll="0"/>
    <pivotField compact="0" showAll="0"/>
    <pivotField dataField="1" compact="0" showAll="0"/>
    <pivotField compact="0" showAll="0">
      <items count="6">
        <item x="0"/>
        <item x="1"/>
        <item x="2"/>
        <item x="3"/>
        <item x="4"/>
        <item t="default"/>
      </items>
    </pivotField>
    <pivotField compact="0" showAll="0">
      <items count="3">
        <item x="0"/>
        <item x="1"/>
        <item t="default"/>
      </items>
    </pivotField>
    <pivotField compact="0" showAll="0">
      <items count="4">
        <item x="0"/>
        <item x="1"/>
        <item x="2"/>
        <item t="default"/>
      </items>
    </pivotField>
    <pivotField compact="0" showAll="0"/>
    <pivotField compact="0" showAll="0">
      <items count="4">
        <item x="0"/>
        <item x="1"/>
        <item x="2"/>
        <item t="default"/>
      </items>
    </pivotField>
  </pivotFields>
  <rowFields count="1">
    <field x="0"/>
  </rowFields>
  <rowItems count="11">
    <i>
      <x/>
    </i>
    <i>
      <x v="1"/>
    </i>
    <i>
      <x v="2"/>
    </i>
    <i>
      <x v="3"/>
    </i>
    <i>
      <x v="4"/>
    </i>
    <i>
      <x v="5"/>
    </i>
    <i>
      <x v="6"/>
    </i>
    <i>
      <x v="7"/>
    </i>
    <i>
      <x v="8"/>
    </i>
    <i>
      <x v="9"/>
    </i>
    <i t="grand">
      <x/>
    </i>
  </rowItems>
  <colItems count="1">
    <i/>
  </colItems>
  <dataFields count="1">
    <dataField name="Sum - Revenue" fld="4" baseField="0" baseItem="0" numFmtId="166"/>
  </dataFields>
  <formats count="4">
    <format dxfId="4">
      <pivotArea type="all" dataOnly="0" outline="0" fieldPosition="0"/>
    </format>
    <format dxfId="3">
      <pivotArea outline="0" fieldPosition="0"/>
    </format>
    <format dxfId="2">
      <pivotArea field="0" type="button" dataOnly="0" labelOnly="1" outline="0" axis="axisRow" fieldPosition="0"/>
    </format>
    <format dxfId="1">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99877E70-B825-47B2-B722-FC9CD8104B50}" sourceName="Region">
  <pivotTables>
    <pivotTable tabId="14" name="PT_ProductName"/>
    <pivotTable tabId="15" name="PT_Region"/>
    <pivotTable tabId="16" name="PT_StoreName"/>
    <pivotTable tabId="17" name="PT_Date"/>
  </pivotTables>
  <data>
    <tabular pivotCacheId="1877991136">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3972DD6D-3C48-4518-84D7-873BB83F1700}" sourceName="Category">
  <pivotTables>
    <pivotTable tabId="14" name="PT_ProductName"/>
    <pivotTable tabId="15" name="PT_Region"/>
    <pivotTable tabId="16" name="PT_StoreName"/>
    <pivotTable tabId="17" name="PT_Date"/>
  </pivotTables>
  <data>
    <tabular pivotCacheId="1877991136">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Name" xr10:uid="{622BA623-7151-4803-8A2C-59D462184BFB}" sourceName="StoreName">
  <pivotTables>
    <pivotTable tabId="14" name="PT_ProductName"/>
    <pivotTable tabId="15" name="PT_Region"/>
    <pivotTable tabId="16" name="PT_StoreName"/>
    <pivotTable tabId="17" name="PT_Date"/>
  </pivotTables>
  <data>
    <tabular pivotCacheId="1877991136">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Name" xr10:uid="{A20F7AE5-0BF5-4831-8583-DAAB5CDDBBD6}" sourceName="ProductName">
  <pivotTables>
    <pivotTable tabId="14" name="PT_ProductName"/>
    <pivotTable tabId="15" name="PT_Region"/>
    <pivotTable tabId="16" name="PT_StoreName"/>
    <pivotTable tabId="17" name="PT_Date"/>
  </pivotTables>
  <data>
    <tabular pivotCacheId="1877991136">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_Region" xr10:uid="{A4958C01-3A9F-4085-AF2B-BDFFF0148C50}" cache="Slicer_Region1" caption="Region" rowHeight="241300"/>
  <slicer name="Slicer_Category" xr10:uid="{F6026084-B49B-457A-B1D0-9B03ACF3C440}" cache="Slicer_Category" caption="Category" rowHeight="241300"/>
  <slicer name="Slicer_Store" xr10:uid="{AD5E2CB3-1EA3-4295-A555-8D25B9607A9B}" cache="Slicer_StoreName" caption="Store" rowHeight="241300"/>
  <slicer name="Slicer_Product" xr10:uid="{D2559682-6E71-4A23-92E8-59918BD3BD8A}" cache="Slicer_ProductName" caption="Product"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E27" totalsRowShown="0">
  <tableColumns count="5">
    <tableColumn id="1" xr3:uid="{00000000-0010-0000-0000-000001000000}" name="Date"/>
    <tableColumn id="2" xr3:uid="{00000000-0010-0000-0000-000002000000}" name="ProductID"/>
    <tableColumn id="3" xr3:uid="{00000000-0010-0000-0000-000003000000}" name="StoreID"/>
    <tableColumn id="4" xr3:uid="{00000000-0010-0000-0000-000004000000}" name="Units"/>
    <tableColumn id="5" xr3:uid="{00000000-0010-0000-0000-000005000000}" name="Revenue"/>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2" displayName="Table_2" ref="A1:D6" totalsRowShown="0">
  <tableColumns count="4">
    <tableColumn id="1" xr3:uid="{00000000-0010-0000-0100-000001000000}" name="ProductID"/>
    <tableColumn id="2" xr3:uid="{00000000-0010-0000-0100-000002000000}" name="ProductName"/>
    <tableColumn id="3" xr3:uid="{00000000-0010-0000-0100-000003000000}" name="Category"/>
    <tableColumn id="4" xr3:uid="{00000000-0010-0000-0100-000004000000}" name="Price"/>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3" displayName="Table_3" ref="A1:C4" totalsRowShown="0">
  <tableColumns count="3">
    <tableColumn id="1" xr3:uid="{00000000-0010-0000-0200-000001000000}" name="StoreID"/>
    <tableColumn id="2" xr3:uid="{00000000-0010-0000-0200-000002000000}" name="StoreName"/>
    <tableColumn id="3" xr3:uid="{00000000-0010-0000-0200-000003000000}" name="City"/>
  </tableColumns>
  <tableStyleInfo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
  <sheetViews>
    <sheetView tabSelected="1" zoomScaleNormal="100" workbookViewId="0">
      <selection activeCell="A14" sqref="A14"/>
    </sheetView>
  </sheetViews>
  <sheetFormatPr defaultColWidth="8.6328125" defaultRowHeight="14.5" x14ac:dyDescent="0.35"/>
  <cols>
    <col min="1" max="12" width="22" customWidth="1"/>
  </cols>
  <sheetData>
    <row r="1" spans="1:12" ht="14.25" customHeight="1" x14ac:dyDescent="0.35">
      <c r="A1" s="52" t="s">
        <v>18</v>
      </c>
      <c r="B1" s="53"/>
      <c r="C1" s="53"/>
      <c r="D1" s="53"/>
      <c r="E1" s="53"/>
      <c r="F1" s="53"/>
      <c r="G1" s="53"/>
      <c r="H1" s="53"/>
      <c r="I1" s="53"/>
      <c r="J1" s="53"/>
      <c r="K1" s="53"/>
      <c r="L1" s="53"/>
    </row>
    <row r="2" spans="1:12" ht="14.25" customHeight="1" x14ac:dyDescent="0.35">
      <c r="A2" s="53"/>
      <c r="B2" s="53"/>
      <c r="C2" s="53"/>
      <c r="D2" s="53"/>
      <c r="E2" s="53"/>
      <c r="F2" s="53"/>
      <c r="G2" s="53"/>
      <c r="H2" s="53"/>
      <c r="I2" s="53"/>
      <c r="J2" s="53"/>
      <c r="K2" s="53"/>
      <c r="L2" s="53"/>
    </row>
    <row r="4" spans="1:12" ht="14.25" customHeight="1" x14ac:dyDescent="0.35">
      <c r="A4" s="93" t="s">
        <v>19</v>
      </c>
      <c r="B4" s="94"/>
      <c r="D4" s="50" t="s">
        <v>20</v>
      </c>
      <c r="E4" s="51"/>
      <c r="G4" s="50" t="s">
        <v>21</v>
      </c>
      <c r="H4" s="51"/>
      <c r="J4" s="50" t="s">
        <v>22</v>
      </c>
      <c r="K4" s="51"/>
    </row>
    <row r="5" spans="1:12" ht="17.399999999999999" customHeight="1" x14ac:dyDescent="0.45">
      <c r="A5" s="1">
        <f>SUM(Sales!E:E)</f>
        <v>35495</v>
      </c>
      <c r="B5" s="2"/>
      <c r="D5" s="1">
        <f>SUM(Sales!D:D)</f>
        <v>579</v>
      </c>
      <c r="E5" s="2"/>
      <c r="G5" s="1">
        <f>IFERROR(SUM(Sales!E:E)/SUM(Sales!D:D),0)</f>
        <v>61.303972366148535</v>
      </c>
      <c r="H5" s="2"/>
      <c r="J5" s="1">
        <f>IFERROR(SUM(Sales!E:E)/SUM(Sales!D:D),0)</f>
        <v>61.303972366148535</v>
      </c>
      <c r="K5" s="2"/>
    </row>
    <row r="9" spans="1:12" ht="17.399999999999999" customHeight="1" x14ac:dyDescent="0.45">
      <c r="A9" s="3" t="s">
        <v>23</v>
      </c>
    </row>
    <row r="10" spans="1:12" ht="14.25" customHeight="1" x14ac:dyDescent="0.35">
      <c r="A10" t="s">
        <v>24</v>
      </c>
    </row>
    <row r="11" spans="1:12" ht="14.25" customHeight="1" x14ac:dyDescent="0.35">
      <c r="A11" t="s">
        <v>25</v>
      </c>
    </row>
    <row r="12" spans="1:12" ht="14.25" customHeight="1" x14ac:dyDescent="0.35">
      <c r="A12" t="s">
        <v>26</v>
      </c>
    </row>
    <row r="13" spans="1:12" ht="14.25" customHeight="1" x14ac:dyDescent="0.35">
      <c r="A13" t="s">
        <v>27</v>
      </c>
    </row>
    <row r="14" spans="1:12" ht="14.25" customHeight="1" x14ac:dyDescent="0.35">
      <c r="A14" t="s">
        <v>28</v>
      </c>
    </row>
  </sheetData>
  <mergeCells count="5">
    <mergeCell ref="A4:B4"/>
    <mergeCell ref="G4:H4"/>
    <mergeCell ref="J4:K4"/>
    <mergeCell ref="A1:L2"/>
    <mergeCell ref="D4:E4"/>
  </mergeCells>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998"/>
  <sheetViews>
    <sheetView showGridLines="0" topLeftCell="A55" zoomScale="85" zoomScaleNormal="85" workbookViewId="0">
      <selection activeCell="AC13" sqref="AC13"/>
    </sheetView>
  </sheetViews>
  <sheetFormatPr defaultColWidth="14.453125" defaultRowHeight="14.5" x14ac:dyDescent="0.35"/>
  <cols>
    <col min="1" max="11" width="8.7265625" customWidth="1"/>
    <col min="12" max="12" width="17" customWidth="1"/>
    <col min="13" max="15" width="8.7265625" customWidth="1"/>
    <col min="16" max="16" width="10.54296875" customWidth="1"/>
    <col min="17" max="17" width="9.81640625" customWidth="1"/>
    <col min="18" max="26" width="8.7265625" customWidth="1"/>
  </cols>
  <sheetData>
    <row r="1" spans="1:26" ht="14.25" customHeight="1" x14ac:dyDescent="0.35">
      <c r="A1" s="71" t="s">
        <v>29</v>
      </c>
      <c r="B1" s="53"/>
      <c r="C1" s="53"/>
      <c r="D1" s="53"/>
      <c r="E1" s="53"/>
      <c r="F1" s="53"/>
      <c r="G1" s="53"/>
      <c r="H1" s="53"/>
      <c r="I1" s="53"/>
      <c r="J1" s="53"/>
      <c r="K1" s="53"/>
      <c r="L1" s="53"/>
      <c r="M1" s="53"/>
      <c r="N1" s="53"/>
      <c r="O1" s="53"/>
      <c r="P1" s="53"/>
      <c r="Q1" s="53"/>
      <c r="R1" s="53"/>
      <c r="S1" s="53"/>
      <c r="T1" s="53"/>
      <c r="U1" s="53"/>
      <c r="V1" s="4"/>
      <c r="W1" s="4"/>
      <c r="X1" s="4"/>
      <c r="Y1" s="4"/>
      <c r="Z1" s="4"/>
    </row>
    <row r="2" spans="1:26" ht="14.25" customHeight="1" x14ac:dyDescent="0.35">
      <c r="A2" s="53"/>
      <c r="B2" s="53"/>
      <c r="C2" s="53"/>
      <c r="D2" s="53"/>
      <c r="E2" s="53"/>
      <c r="F2" s="53"/>
      <c r="G2" s="53"/>
      <c r="H2" s="53"/>
      <c r="I2" s="53"/>
      <c r="J2" s="53"/>
      <c r="K2" s="53"/>
      <c r="L2" s="53"/>
      <c r="M2" s="53"/>
      <c r="N2" s="53"/>
      <c r="O2" s="53"/>
      <c r="P2" s="53"/>
      <c r="Q2" s="53"/>
      <c r="R2" s="53"/>
      <c r="S2" s="53"/>
      <c r="T2" s="53"/>
      <c r="U2" s="53"/>
      <c r="V2" s="4"/>
      <c r="W2" s="4"/>
      <c r="X2" s="4"/>
      <c r="Y2" s="4"/>
      <c r="Z2" s="4"/>
    </row>
    <row r="3" spans="1:26" ht="14.25" customHeight="1" x14ac:dyDescent="0.35">
      <c r="A3" s="53"/>
      <c r="B3" s="53"/>
      <c r="C3" s="53"/>
      <c r="D3" s="53"/>
      <c r="E3" s="53"/>
      <c r="F3" s="53"/>
      <c r="G3" s="53"/>
      <c r="H3" s="53"/>
      <c r="I3" s="53"/>
      <c r="J3" s="53"/>
      <c r="K3" s="53"/>
      <c r="L3" s="53"/>
      <c r="M3" s="53"/>
      <c r="N3" s="53"/>
      <c r="O3" s="53"/>
      <c r="P3" s="53"/>
      <c r="Q3" s="53"/>
      <c r="R3" s="53"/>
      <c r="S3" s="53"/>
      <c r="T3" s="53"/>
      <c r="U3" s="53"/>
      <c r="V3" s="4"/>
      <c r="W3" s="4"/>
      <c r="X3" s="4"/>
      <c r="Y3" s="4"/>
      <c r="Z3" s="4"/>
    </row>
    <row r="4" spans="1:26" s="80" customFormat="1" ht="18" customHeight="1" x14ac:dyDescent="0.35">
      <c r="A4" s="95" t="s">
        <v>30</v>
      </c>
      <c r="B4" s="79"/>
      <c r="C4" s="79"/>
      <c r="D4" s="79"/>
      <c r="E4" s="79"/>
      <c r="F4" s="79"/>
      <c r="G4" s="79"/>
      <c r="H4" s="79"/>
      <c r="I4" s="79"/>
      <c r="J4" s="79"/>
      <c r="K4" s="79"/>
      <c r="L4" s="79"/>
      <c r="M4" s="79"/>
      <c r="N4" s="79"/>
      <c r="O4" s="79"/>
      <c r="P4" s="79"/>
      <c r="Q4" s="79"/>
      <c r="R4" s="79"/>
      <c r="S4" s="79"/>
      <c r="T4" s="79"/>
      <c r="U4" s="79"/>
      <c r="V4" s="4"/>
      <c r="W4" s="4"/>
      <c r="X4" s="4"/>
      <c r="Y4" s="4"/>
      <c r="Z4" s="4"/>
    </row>
    <row r="5" spans="1:26" ht="14.25" customHeight="1" x14ac:dyDescent="0.35">
      <c r="A5" s="4"/>
      <c r="B5" s="4"/>
      <c r="C5" s="4"/>
      <c r="D5" s="4"/>
      <c r="E5" s="4"/>
      <c r="F5" s="4"/>
      <c r="G5" s="4"/>
      <c r="H5" s="4"/>
      <c r="I5" s="4"/>
      <c r="J5" s="4"/>
      <c r="K5" s="4"/>
      <c r="L5" s="4"/>
      <c r="M5" s="4"/>
      <c r="N5" s="4"/>
      <c r="O5" s="4"/>
      <c r="P5" s="4"/>
      <c r="Q5" s="4"/>
      <c r="R5" s="4"/>
      <c r="S5" s="4"/>
      <c r="T5" s="4"/>
      <c r="U5" s="4"/>
      <c r="V5" s="4"/>
      <c r="W5" s="4"/>
      <c r="X5" s="4"/>
      <c r="Y5" s="4"/>
      <c r="Z5" s="4"/>
    </row>
    <row r="6" spans="1:26" ht="15.75" customHeight="1" x14ac:dyDescent="0.35">
      <c r="A6" s="4"/>
      <c r="B6" s="55" t="s">
        <v>31</v>
      </c>
      <c r="C6" s="53"/>
      <c r="D6" s="53"/>
      <c r="E6" s="53"/>
      <c r="F6" s="53"/>
      <c r="G6" s="53"/>
      <c r="H6" s="53"/>
      <c r="I6" s="53"/>
      <c r="J6" s="53"/>
      <c r="K6" s="53"/>
      <c r="L6" s="53"/>
      <c r="M6" s="53"/>
      <c r="N6" s="53"/>
      <c r="O6" s="53"/>
      <c r="P6" s="53"/>
      <c r="Q6" s="53"/>
      <c r="R6" s="53"/>
      <c r="S6" s="53"/>
      <c r="T6" s="53"/>
      <c r="U6" s="53"/>
      <c r="V6" s="4"/>
      <c r="W6" s="4"/>
      <c r="X6" s="4"/>
      <c r="Y6" s="4"/>
      <c r="Z6" s="4"/>
    </row>
    <row r="7" spans="1:26" ht="21.75" customHeight="1" x14ac:dyDescent="0.35">
      <c r="A7" s="4"/>
      <c r="B7" s="56" t="s">
        <v>19</v>
      </c>
      <c r="C7" s="53"/>
      <c r="D7" s="53"/>
      <c r="E7" s="53"/>
      <c r="F7" s="53"/>
      <c r="G7" s="62" t="s">
        <v>20</v>
      </c>
      <c r="H7" s="53"/>
      <c r="I7" s="53"/>
      <c r="J7" s="53"/>
      <c r="K7" s="53"/>
      <c r="L7" s="57" t="s">
        <v>32</v>
      </c>
      <c r="M7" s="53"/>
      <c r="N7" s="53"/>
      <c r="O7" s="53"/>
      <c r="P7" s="53"/>
      <c r="Q7" s="54" t="s">
        <v>33</v>
      </c>
      <c r="R7" s="53"/>
      <c r="S7" s="53"/>
      <c r="T7" s="53"/>
      <c r="U7" s="53"/>
      <c r="V7" s="4"/>
      <c r="W7" s="4"/>
      <c r="X7" s="4"/>
      <c r="Y7" s="4"/>
      <c r="Z7" s="4"/>
    </row>
    <row r="8" spans="1:26" ht="27.75" customHeight="1" x14ac:dyDescent="0.35">
      <c r="A8" s="4"/>
      <c r="B8" s="65" t="s">
        <v>34</v>
      </c>
      <c r="C8" s="53"/>
      <c r="D8" s="53"/>
      <c r="E8" s="53"/>
      <c r="F8" s="53"/>
      <c r="G8" s="59" t="s">
        <v>35</v>
      </c>
      <c r="H8" s="53"/>
      <c r="I8" s="53"/>
      <c r="J8" s="53"/>
      <c r="K8" s="53"/>
      <c r="L8" s="66" t="s">
        <v>36</v>
      </c>
      <c r="M8" s="53"/>
      <c r="N8" s="53"/>
      <c r="O8" s="53"/>
      <c r="P8" s="53"/>
      <c r="Q8" s="61" t="s">
        <v>37</v>
      </c>
      <c r="R8" s="53"/>
      <c r="S8" s="53"/>
      <c r="T8" s="53"/>
      <c r="U8" s="53"/>
      <c r="V8" s="4"/>
      <c r="W8" s="4"/>
      <c r="X8" s="4"/>
      <c r="Y8" s="4"/>
      <c r="Z8" s="4"/>
    </row>
    <row r="9" spans="1:26" ht="13.5" customHeight="1" x14ac:dyDescent="0.35">
      <c r="A9" s="4"/>
      <c r="B9" s="68"/>
      <c r="C9" s="53"/>
      <c r="D9" s="53"/>
      <c r="E9" s="53"/>
      <c r="F9" s="53"/>
      <c r="G9" s="70"/>
      <c r="H9" s="53"/>
      <c r="I9" s="53"/>
      <c r="J9" s="53"/>
      <c r="K9" s="53"/>
      <c r="L9" s="69"/>
      <c r="M9" s="53"/>
      <c r="N9" s="53"/>
      <c r="O9" s="53"/>
      <c r="P9" s="53"/>
      <c r="Q9" s="67"/>
      <c r="R9" s="53"/>
      <c r="S9" s="53"/>
      <c r="T9" s="53"/>
      <c r="U9" s="53"/>
      <c r="V9" s="4"/>
      <c r="W9" s="4"/>
      <c r="X9" s="4"/>
      <c r="Y9" s="4"/>
      <c r="Z9" s="4"/>
    </row>
    <row r="10" spans="1:26" ht="14.25" customHeight="1" x14ac:dyDescent="0.35">
      <c r="A10" s="4"/>
      <c r="B10" s="4"/>
      <c r="C10" s="4"/>
      <c r="D10" s="4"/>
      <c r="E10" s="4"/>
      <c r="F10" s="4"/>
      <c r="G10" s="4"/>
      <c r="H10" s="4"/>
      <c r="I10" s="4"/>
      <c r="J10" s="4"/>
      <c r="K10" s="4"/>
      <c r="L10" s="4"/>
      <c r="M10" s="4"/>
      <c r="N10" s="4"/>
      <c r="O10" s="4"/>
      <c r="P10" s="4"/>
      <c r="Q10" s="4"/>
      <c r="R10" s="4"/>
      <c r="S10" s="4"/>
      <c r="T10" s="4"/>
      <c r="U10" s="4"/>
      <c r="V10" s="4"/>
      <c r="W10" s="4"/>
      <c r="X10" s="4"/>
      <c r="Y10" s="4"/>
      <c r="Z10" s="4"/>
    </row>
    <row r="11" spans="1:26" ht="18" customHeight="1" x14ac:dyDescent="0.35">
      <c r="A11" s="4"/>
      <c r="B11" s="55" t="s">
        <v>38</v>
      </c>
      <c r="C11" s="53"/>
      <c r="D11" s="53"/>
      <c r="E11" s="53"/>
      <c r="F11" s="53"/>
      <c r="G11" s="53"/>
      <c r="H11" s="53"/>
      <c r="I11" s="53"/>
      <c r="J11" s="53"/>
      <c r="K11" s="4"/>
      <c r="L11" s="60" t="s">
        <v>39</v>
      </c>
      <c r="M11" s="53"/>
      <c r="N11" s="53"/>
      <c r="O11" s="53"/>
      <c r="P11" s="53"/>
      <c r="Q11" s="53"/>
      <c r="R11" s="53"/>
      <c r="S11" s="53"/>
      <c r="T11" s="53"/>
      <c r="U11" s="53"/>
      <c r="V11" s="4"/>
      <c r="W11" s="4"/>
      <c r="X11" s="4"/>
      <c r="Y11" s="4"/>
      <c r="Z11" s="4"/>
    </row>
    <row r="12" spans="1:26" ht="15.75" customHeight="1" x14ac:dyDescent="0.35">
      <c r="A12" s="4"/>
      <c r="B12" s="5" t="s">
        <v>40</v>
      </c>
      <c r="C12" s="5" t="s">
        <v>6</v>
      </c>
      <c r="D12" s="5" t="s">
        <v>3</v>
      </c>
      <c r="E12" s="5" t="s">
        <v>41</v>
      </c>
      <c r="F12" s="5" t="s">
        <v>42</v>
      </c>
      <c r="G12" s="4"/>
      <c r="H12" s="4"/>
      <c r="I12" s="4"/>
      <c r="J12" s="4"/>
      <c r="K12" s="4"/>
      <c r="L12" s="6" t="s">
        <v>43</v>
      </c>
      <c r="M12" s="6" t="s">
        <v>8</v>
      </c>
      <c r="N12" s="6" t="s">
        <v>9</v>
      </c>
      <c r="O12" s="6" t="s">
        <v>3</v>
      </c>
      <c r="P12" s="6" t="s">
        <v>41</v>
      </c>
      <c r="Q12" s="6" t="s">
        <v>42</v>
      </c>
      <c r="R12" s="4"/>
      <c r="S12" s="4"/>
      <c r="T12" s="4"/>
      <c r="U12" s="4"/>
      <c r="V12" s="4"/>
      <c r="W12" s="4"/>
      <c r="X12" s="4"/>
      <c r="Y12" s="4"/>
      <c r="Z12" s="4"/>
    </row>
    <row r="13" spans="1:26" ht="15" customHeight="1" x14ac:dyDescent="0.35">
      <c r="A13" s="4"/>
      <c r="B13" s="7" t="s">
        <v>44</v>
      </c>
      <c r="C13" s="7" t="s">
        <v>45</v>
      </c>
      <c r="D13" s="7">
        <v>110</v>
      </c>
      <c r="E13" s="8">
        <v>13200</v>
      </c>
      <c r="F13" s="7" t="s">
        <v>46</v>
      </c>
      <c r="G13" s="4"/>
      <c r="H13" s="4"/>
      <c r="I13" s="4"/>
      <c r="J13" s="4"/>
      <c r="K13" s="4"/>
      <c r="L13" s="7" t="s">
        <v>47</v>
      </c>
      <c r="M13" s="7" t="s">
        <v>48</v>
      </c>
      <c r="N13" s="7" t="s">
        <v>49</v>
      </c>
      <c r="O13" s="7">
        <v>258</v>
      </c>
      <c r="P13" s="8">
        <v>15445</v>
      </c>
      <c r="Q13" s="7" t="s">
        <v>50</v>
      </c>
      <c r="R13" s="4"/>
      <c r="S13" s="4"/>
      <c r="T13" s="4"/>
      <c r="U13" s="4"/>
      <c r="V13" s="4"/>
      <c r="W13" s="4"/>
      <c r="X13" s="4"/>
      <c r="Y13" s="4"/>
      <c r="Z13" s="4"/>
    </row>
    <row r="14" spans="1:26" ht="15" customHeight="1" x14ac:dyDescent="0.35">
      <c r="A14" s="4"/>
      <c r="B14" s="9" t="s">
        <v>51</v>
      </c>
      <c r="C14" s="9" t="s">
        <v>52</v>
      </c>
      <c r="D14" s="9">
        <v>45</v>
      </c>
      <c r="E14" s="10">
        <v>9900</v>
      </c>
      <c r="F14" s="9" t="s">
        <v>53</v>
      </c>
      <c r="G14" s="4"/>
      <c r="H14" s="4"/>
      <c r="I14" s="4"/>
      <c r="J14" s="4"/>
      <c r="K14" s="4"/>
      <c r="L14" s="11" t="s">
        <v>54</v>
      </c>
      <c r="M14" s="11" t="s">
        <v>55</v>
      </c>
      <c r="N14" s="11" t="s">
        <v>56</v>
      </c>
      <c r="O14" s="11">
        <v>199</v>
      </c>
      <c r="P14" s="12">
        <v>11380</v>
      </c>
      <c r="Q14" s="11" t="s">
        <v>57</v>
      </c>
      <c r="R14" s="4"/>
      <c r="S14" s="4"/>
      <c r="T14" s="4"/>
      <c r="U14" s="4"/>
      <c r="V14" s="4"/>
      <c r="W14" s="4"/>
      <c r="X14" s="4"/>
      <c r="Y14" s="4"/>
      <c r="Z14" s="4"/>
    </row>
    <row r="15" spans="1:26" ht="15" customHeight="1" x14ac:dyDescent="0.35">
      <c r="A15" s="4"/>
      <c r="B15" s="7" t="s">
        <v>58</v>
      </c>
      <c r="C15" s="7" t="s">
        <v>52</v>
      </c>
      <c r="D15" s="7">
        <v>118</v>
      </c>
      <c r="E15" s="8">
        <v>5900</v>
      </c>
      <c r="F15" s="7" t="s">
        <v>59</v>
      </c>
      <c r="G15" s="4"/>
      <c r="H15" s="4"/>
      <c r="I15" s="4"/>
      <c r="J15" s="4"/>
      <c r="K15" s="4"/>
      <c r="L15" s="7" t="s">
        <v>60</v>
      </c>
      <c r="M15" s="7" t="s">
        <v>61</v>
      </c>
      <c r="N15" s="7" t="s">
        <v>62</v>
      </c>
      <c r="O15" s="7">
        <v>122</v>
      </c>
      <c r="P15" s="8">
        <v>8670</v>
      </c>
      <c r="Q15" s="7" t="s">
        <v>63</v>
      </c>
      <c r="R15" s="4"/>
      <c r="S15" s="4"/>
      <c r="T15" s="4"/>
      <c r="U15" s="4"/>
      <c r="V15" s="4"/>
      <c r="W15" s="4"/>
      <c r="X15" s="4"/>
      <c r="Y15" s="4"/>
      <c r="Z15" s="4"/>
    </row>
    <row r="16" spans="1:26" ht="15" customHeight="1" x14ac:dyDescent="0.35">
      <c r="A16" s="4"/>
      <c r="B16" s="9" t="s">
        <v>64</v>
      </c>
      <c r="C16" s="9" t="s">
        <v>45</v>
      </c>
      <c r="D16" s="9">
        <v>127</v>
      </c>
      <c r="E16" s="10">
        <v>3810</v>
      </c>
      <c r="F16" s="9" t="s">
        <v>65</v>
      </c>
      <c r="G16" s="4"/>
      <c r="H16" s="4"/>
      <c r="I16" s="4"/>
      <c r="J16" s="4"/>
      <c r="K16" s="4"/>
      <c r="L16" s="4"/>
      <c r="M16" s="4"/>
      <c r="N16" s="4"/>
      <c r="O16" s="4"/>
      <c r="P16" s="4"/>
      <c r="Q16" s="4"/>
      <c r="R16" s="4"/>
      <c r="S16" s="4"/>
      <c r="T16" s="4"/>
      <c r="U16" s="4"/>
      <c r="V16" s="4"/>
      <c r="W16" s="4"/>
      <c r="X16" s="4"/>
      <c r="Y16" s="4"/>
      <c r="Z16" s="4"/>
    </row>
    <row r="17" spans="1:26" ht="15" customHeight="1" x14ac:dyDescent="0.35">
      <c r="A17" s="4"/>
      <c r="B17" s="7" t="s">
        <v>66</v>
      </c>
      <c r="C17" s="7" t="s">
        <v>45</v>
      </c>
      <c r="D17" s="7">
        <v>179</v>
      </c>
      <c r="E17" s="8">
        <v>2685</v>
      </c>
      <c r="F17" s="7" t="s">
        <v>67</v>
      </c>
      <c r="G17" s="4"/>
      <c r="H17" s="4"/>
      <c r="I17" s="4"/>
      <c r="J17" s="4"/>
      <c r="K17" s="4"/>
      <c r="L17" s="4"/>
      <c r="M17" s="4"/>
      <c r="N17" s="4"/>
      <c r="O17" s="4"/>
      <c r="P17" s="4"/>
      <c r="Q17" s="4"/>
      <c r="R17" s="4"/>
      <c r="S17" s="4"/>
      <c r="T17" s="4"/>
      <c r="U17" s="4"/>
      <c r="V17" s="4"/>
      <c r="W17" s="4"/>
      <c r="X17" s="4"/>
      <c r="Y17" s="4"/>
      <c r="Z17" s="4"/>
    </row>
    <row r="18" spans="1:26" ht="14.25" customHeight="1" x14ac:dyDescent="0.35">
      <c r="A18" s="4"/>
      <c r="B18" s="4"/>
      <c r="C18" s="4"/>
      <c r="D18" s="4"/>
      <c r="E18" s="4"/>
      <c r="F18" s="4"/>
      <c r="G18" s="4"/>
      <c r="H18" s="4"/>
      <c r="I18" s="4"/>
      <c r="J18" s="4"/>
      <c r="K18" s="4"/>
      <c r="L18" s="4"/>
      <c r="M18" s="4"/>
      <c r="N18" s="4"/>
      <c r="O18" s="4"/>
      <c r="P18" s="4"/>
      <c r="Q18" s="4"/>
      <c r="R18" s="4"/>
      <c r="S18" s="4"/>
      <c r="T18" s="4"/>
      <c r="U18" s="4"/>
      <c r="V18" s="4"/>
      <c r="W18" s="4"/>
      <c r="X18" s="4"/>
      <c r="Y18" s="4"/>
      <c r="Z18" s="4"/>
    </row>
    <row r="19" spans="1:26" ht="14.25" customHeight="1" x14ac:dyDescent="0.35">
      <c r="A19" s="4"/>
      <c r="B19" s="4"/>
      <c r="C19" s="4"/>
      <c r="D19" s="4"/>
      <c r="E19" s="4"/>
      <c r="F19" s="4"/>
      <c r="G19" s="4"/>
      <c r="H19" s="4"/>
      <c r="I19" s="4"/>
      <c r="J19" s="4"/>
      <c r="K19" s="4"/>
      <c r="L19" s="4"/>
      <c r="M19" s="4"/>
      <c r="N19" s="4"/>
      <c r="O19" s="4"/>
      <c r="P19" s="4"/>
      <c r="Q19" s="4"/>
      <c r="R19" s="4"/>
      <c r="S19" s="4"/>
      <c r="T19" s="4"/>
      <c r="U19" s="4"/>
      <c r="V19" s="4"/>
      <c r="W19" s="4"/>
      <c r="X19" s="4"/>
      <c r="Y19" s="4"/>
      <c r="Z19" s="4"/>
    </row>
    <row r="20" spans="1:26" ht="14.25" customHeight="1" x14ac:dyDescent="0.35">
      <c r="A20" s="4"/>
      <c r="B20" s="4"/>
      <c r="C20" s="4"/>
      <c r="D20" s="4"/>
      <c r="E20" s="4"/>
      <c r="F20" s="4"/>
      <c r="G20" s="4"/>
      <c r="H20" s="4"/>
      <c r="I20" s="4"/>
      <c r="J20" s="4"/>
      <c r="K20" s="4"/>
      <c r="L20" s="4"/>
      <c r="M20" s="4"/>
      <c r="N20" s="4"/>
      <c r="O20" s="4"/>
      <c r="P20" s="4"/>
      <c r="Q20" s="4"/>
      <c r="R20" s="4"/>
      <c r="S20" s="4"/>
      <c r="T20" s="4"/>
      <c r="U20" s="4"/>
      <c r="V20" s="4"/>
      <c r="W20" s="4"/>
      <c r="X20" s="4"/>
      <c r="Y20" s="4"/>
      <c r="Z20" s="4"/>
    </row>
    <row r="21" spans="1:26" ht="14.25" customHeight="1" x14ac:dyDescent="0.35">
      <c r="A21" s="4"/>
      <c r="B21" s="4"/>
      <c r="C21" s="4"/>
      <c r="D21" s="4"/>
      <c r="E21" s="4"/>
      <c r="F21" s="4"/>
      <c r="G21" s="4"/>
      <c r="H21" s="4"/>
      <c r="I21" s="4"/>
      <c r="J21" s="4"/>
      <c r="K21" s="4"/>
      <c r="L21" s="4"/>
      <c r="M21" s="4"/>
      <c r="N21" s="4"/>
      <c r="O21" s="4"/>
      <c r="P21" s="4"/>
      <c r="Q21" s="4"/>
      <c r="R21" s="4"/>
      <c r="S21" s="4"/>
      <c r="T21" s="4"/>
      <c r="U21" s="4"/>
      <c r="V21" s="4"/>
      <c r="W21" s="4"/>
      <c r="X21" s="4"/>
      <c r="Y21" s="4"/>
      <c r="Z21" s="4"/>
    </row>
    <row r="22" spans="1:26" ht="14.25" customHeight="1" x14ac:dyDescent="0.35">
      <c r="A22" s="4"/>
      <c r="B22" s="4"/>
      <c r="C22" s="4"/>
      <c r="D22" s="4"/>
      <c r="E22" s="4"/>
      <c r="F22" s="4"/>
      <c r="G22" s="4"/>
      <c r="H22" s="4"/>
      <c r="I22" s="4"/>
      <c r="J22" s="4"/>
      <c r="K22" s="4"/>
      <c r="L22" s="4"/>
      <c r="M22" s="4"/>
      <c r="N22" s="4"/>
      <c r="O22" s="4"/>
      <c r="P22" s="4"/>
      <c r="Q22" s="4"/>
      <c r="R22" s="4"/>
      <c r="S22" s="4"/>
      <c r="T22" s="4"/>
      <c r="U22" s="4"/>
      <c r="V22" s="4"/>
      <c r="W22" s="4"/>
      <c r="X22" s="4"/>
      <c r="Y22" s="4"/>
      <c r="Z22" s="4"/>
    </row>
    <row r="23" spans="1:26" ht="14.25" customHeight="1" x14ac:dyDescent="0.35">
      <c r="A23" s="4"/>
      <c r="B23" s="4"/>
      <c r="C23" s="4"/>
      <c r="D23" s="4"/>
      <c r="E23" s="4"/>
      <c r="F23" s="4"/>
      <c r="G23" s="4"/>
      <c r="H23" s="4"/>
      <c r="I23" s="4"/>
      <c r="J23" s="4"/>
      <c r="K23" s="4"/>
      <c r="L23" s="4"/>
      <c r="M23" s="4"/>
      <c r="N23" s="4"/>
      <c r="O23" s="4"/>
      <c r="P23" s="4"/>
      <c r="Q23" s="4"/>
      <c r="R23" s="4"/>
      <c r="S23" s="4"/>
      <c r="T23" s="4"/>
      <c r="U23" s="4"/>
      <c r="V23" s="4"/>
      <c r="W23" s="4"/>
      <c r="X23" s="4"/>
      <c r="Y23" s="4"/>
      <c r="Z23" s="4"/>
    </row>
    <row r="24" spans="1:26" ht="14.25" customHeight="1" x14ac:dyDescent="0.35">
      <c r="A24" s="4"/>
      <c r="B24" s="4"/>
      <c r="C24" s="4"/>
      <c r="D24" s="4"/>
      <c r="E24" s="4"/>
      <c r="F24" s="4"/>
      <c r="G24" s="4"/>
      <c r="H24" s="4"/>
      <c r="I24" s="4"/>
      <c r="J24" s="4"/>
      <c r="K24" s="4"/>
      <c r="L24" s="4"/>
      <c r="M24" s="4"/>
      <c r="N24" s="4"/>
      <c r="O24" s="4"/>
      <c r="P24" s="4"/>
      <c r="Q24" s="4"/>
      <c r="R24" s="4"/>
      <c r="S24" s="4"/>
      <c r="T24" s="4"/>
      <c r="U24" s="4"/>
      <c r="V24" s="4"/>
      <c r="W24" s="4"/>
      <c r="X24" s="4"/>
      <c r="Y24" s="4"/>
      <c r="Z24" s="4"/>
    </row>
    <row r="25" spans="1:26" ht="14.25" customHeight="1" x14ac:dyDescent="0.35">
      <c r="A25" s="4"/>
      <c r="B25" s="4"/>
      <c r="C25" s="4"/>
      <c r="D25" s="4"/>
      <c r="E25" s="4"/>
      <c r="F25" s="4"/>
      <c r="G25" s="4"/>
      <c r="H25" s="4"/>
      <c r="I25" s="4"/>
      <c r="J25" s="4"/>
      <c r="K25" s="4"/>
      <c r="L25" s="4"/>
      <c r="M25" s="4"/>
      <c r="N25" s="4"/>
      <c r="O25" s="4"/>
      <c r="P25" s="4"/>
      <c r="Q25" s="4"/>
      <c r="R25" s="4"/>
      <c r="S25" s="4"/>
      <c r="T25" s="4"/>
      <c r="U25" s="4"/>
      <c r="V25" s="4"/>
      <c r="W25" s="4"/>
      <c r="X25" s="4"/>
      <c r="Y25" s="4"/>
      <c r="Z25" s="4"/>
    </row>
    <row r="26" spans="1:26" ht="14.25" customHeight="1" x14ac:dyDescent="0.35">
      <c r="A26" s="4"/>
      <c r="B26" s="4"/>
      <c r="C26" s="4"/>
      <c r="D26" s="4"/>
      <c r="E26" s="4"/>
      <c r="F26" s="4"/>
      <c r="G26" s="4"/>
      <c r="H26" s="4"/>
      <c r="I26" s="4"/>
      <c r="J26" s="4"/>
      <c r="K26" s="4"/>
      <c r="L26" s="4"/>
      <c r="M26" s="4"/>
      <c r="N26" s="4"/>
      <c r="O26" s="4"/>
      <c r="P26" s="4"/>
      <c r="Q26" s="4"/>
      <c r="R26" s="4"/>
      <c r="S26" s="4"/>
      <c r="T26" s="4"/>
      <c r="U26" s="4"/>
      <c r="V26" s="4"/>
      <c r="W26" s="4"/>
      <c r="X26" s="4"/>
      <c r="Y26" s="4"/>
      <c r="Z26" s="4"/>
    </row>
    <row r="27" spans="1:26" ht="14.25" customHeight="1" x14ac:dyDescent="0.35">
      <c r="A27" s="4"/>
      <c r="B27" s="4"/>
      <c r="C27" s="4"/>
      <c r="D27" s="4"/>
      <c r="E27" s="4"/>
      <c r="F27" s="4"/>
      <c r="G27" s="4"/>
      <c r="H27" s="4"/>
      <c r="I27" s="4"/>
      <c r="J27" s="4"/>
      <c r="K27" s="4"/>
      <c r="L27" s="4"/>
      <c r="M27" s="4"/>
      <c r="N27" s="4"/>
      <c r="O27" s="4"/>
      <c r="P27" s="4"/>
      <c r="Q27" s="4"/>
      <c r="R27" s="4"/>
      <c r="S27" s="4"/>
      <c r="T27" s="4"/>
      <c r="U27" s="4"/>
      <c r="V27" s="4"/>
      <c r="W27" s="4"/>
      <c r="X27" s="4"/>
      <c r="Y27" s="4"/>
      <c r="Z27" s="4"/>
    </row>
    <row r="28" spans="1:26" ht="14.25" customHeight="1" x14ac:dyDescent="0.35">
      <c r="A28" s="4"/>
      <c r="B28" s="4"/>
      <c r="C28" s="4"/>
      <c r="D28" s="4"/>
      <c r="E28" s="4"/>
      <c r="F28" s="4"/>
      <c r="G28" s="4"/>
      <c r="H28" s="4"/>
      <c r="I28" s="4"/>
      <c r="J28" s="4"/>
      <c r="K28" s="4"/>
      <c r="L28" s="4"/>
      <c r="M28" s="4"/>
      <c r="N28" s="4"/>
      <c r="O28" s="4"/>
      <c r="P28" s="4"/>
      <c r="Q28" s="4"/>
      <c r="R28" s="4"/>
      <c r="S28" s="4"/>
      <c r="T28" s="4"/>
      <c r="U28" s="4"/>
      <c r="V28" s="4"/>
      <c r="W28" s="4"/>
      <c r="X28" s="4"/>
      <c r="Y28" s="4"/>
      <c r="Z28" s="4"/>
    </row>
    <row r="29" spans="1:26" ht="14.25" customHeight="1" x14ac:dyDescent="0.35">
      <c r="A29" s="4"/>
      <c r="B29" s="4"/>
      <c r="C29" s="4"/>
      <c r="D29" s="4"/>
      <c r="E29" s="4"/>
      <c r="F29" s="4"/>
      <c r="G29" s="4"/>
      <c r="H29" s="4"/>
      <c r="I29" s="4"/>
      <c r="J29" s="4"/>
      <c r="K29" s="4"/>
      <c r="L29" s="4"/>
      <c r="M29" s="4"/>
      <c r="N29" s="4"/>
      <c r="O29" s="4"/>
      <c r="P29" s="4"/>
      <c r="Q29" s="4"/>
      <c r="R29" s="4"/>
      <c r="S29" s="4"/>
      <c r="T29" s="4"/>
      <c r="U29" s="4"/>
      <c r="V29" s="4"/>
      <c r="W29" s="4"/>
      <c r="X29" s="4"/>
      <c r="Y29" s="4"/>
      <c r="Z29" s="4"/>
    </row>
    <row r="30" spans="1:26" ht="14.25" customHeight="1" x14ac:dyDescent="0.35">
      <c r="A30" s="4"/>
      <c r="B30" s="4"/>
      <c r="C30" s="4"/>
      <c r="D30" s="4"/>
      <c r="E30" s="4"/>
      <c r="F30" s="4"/>
      <c r="G30" s="4"/>
      <c r="H30" s="4"/>
      <c r="I30" s="4"/>
      <c r="J30" s="4"/>
      <c r="K30" s="4"/>
      <c r="L30" s="4"/>
      <c r="M30" s="4"/>
      <c r="N30" s="4"/>
      <c r="O30" s="4"/>
      <c r="P30" s="4"/>
      <c r="Q30" s="4"/>
      <c r="R30" s="4"/>
      <c r="S30" s="4"/>
      <c r="T30" s="4"/>
      <c r="U30" s="4"/>
      <c r="V30" s="4"/>
      <c r="W30" s="4"/>
      <c r="X30" s="4"/>
      <c r="Y30" s="4"/>
      <c r="Z30" s="4"/>
    </row>
    <row r="31" spans="1:26" ht="14.25" customHeight="1" x14ac:dyDescent="0.35">
      <c r="A31" s="4"/>
      <c r="B31" s="4"/>
      <c r="C31" s="4"/>
      <c r="D31" s="4"/>
      <c r="E31" s="4"/>
      <c r="F31" s="4"/>
      <c r="G31" s="4"/>
      <c r="H31" s="4"/>
      <c r="I31" s="4"/>
      <c r="J31" s="4"/>
      <c r="K31" s="4"/>
      <c r="L31" s="4"/>
      <c r="M31" s="4"/>
      <c r="N31" s="4"/>
      <c r="O31" s="4"/>
      <c r="P31" s="4"/>
      <c r="Q31" s="4"/>
      <c r="R31" s="4"/>
      <c r="S31" s="4"/>
      <c r="T31" s="4"/>
      <c r="U31" s="4"/>
      <c r="V31" s="4"/>
      <c r="W31" s="4"/>
      <c r="X31" s="4"/>
      <c r="Y31" s="4"/>
      <c r="Z31" s="4"/>
    </row>
    <row r="32" spans="1:26" ht="14.25" customHeight="1" x14ac:dyDescent="0.35">
      <c r="A32" s="4"/>
      <c r="B32" s="4"/>
      <c r="C32" s="4"/>
      <c r="D32" s="4"/>
      <c r="E32" s="4"/>
      <c r="F32" s="4"/>
      <c r="G32" s="4"/>
      <c r="H32" s="4"/>
      <c r="I32" s="4"/>
      <c r="J32" s="4"/>
      <c r="K32" s="4"/>
      <c r="L32" s="4"/>
      <c r="M32" s="4"/>
      <c r="N32" s="4"/>
      <c r="O32" s="4"/>
      <c r="P32" s="4"/>
      <c r="Q32" s="4"/>
      <c r="R32" s="4"/>
      <c r="S32" s="4"/>
      <c r="T32" s="4"/>
      <c r="U32" s="4"/>
      <c r="V32" s="4"/>
      <c r="W32" s="4"/>
      <c r="X32" s="4"/>
      <c r="Y32" s="4"/>
      <c r="Z32" s="4"/>
    </row>
    <row r="33" spans="1:26" ht="14.25" customHeight="1" x14ac:dyDescent="0.35">
      <c r="A33" s="4"/>
      <c r="B33" s="4"/>
      <c r="C33" s="4"/>
      <c r="D33" s="4"/>
      <c r="E33" s="4"/>
      <c r="F33" s="4"/>
      <c r="G33" s="4"/>
      <c r="H33" s="4"/>
      <c r="I33" s="4"/>
      <c r="J33" s="4"/>
      <c r="K33" s="4"/>
      <c r="L33" s="4"/>
      <c r="M33" s="4"/>
      <c r="N33" s="4"/>
      <c r="O33" s="4"/>
      <c r="P33" s="4"/>
      <c r="Q33" s="4"/>
      <c r="R33" s="4"/>
      <c r="S33" s="4"/>
      <c r="T33" s="4"/>
      <c r="U33" s="4"/>
      <c r="V33" s="4"/>
      <c r="W33" s="4"/>
      <c r="X33" s="4"/>
      <c r="Y33" s="4"/>
      <c r="Z33" s="4"/>
    </row>
    <row r="34" spans="1:26" ht="14.25" customHeight="1" x14ac:dyDescent="0.35">
      <c r="A34" s="4"/>
      <c r="B34" s="4"/>
      <c r="C34" s="4"/>
      <c r="D34" s="4"/>
      <c r="E34" s="4"/>
      <c r="F34" s="4"/>
      <c r="G34" s="4"/>
      <c r="H34" s="4"/>
      <c r="I34" s="4"/>
      <c r="J34" s="4"/>
      <c r="K34" s="4"/>
      <c r="L34" s="4"/>
      <c r="M34" s="4"/>
      <c r="N34" s="4"/>
      <c r="O34" s="4"/>
      <c r="P34" s="4"/>
      <c r="Q34" s="4"/>
      <c r="R34" s="4"/>
      <c r="S34" s="4"/>
      <c r="T34" s="4"/>
      <c r="U34" s="4"/>
      <c r="V34" s="4"/>
      <c r="W34" s="4"/>
      <c r="X34" s="4"/>
      <c r="Y34" s="4"/>
      <c r="Z34" s="4"/>
    </row>
    <row r="35" spans="1:26" ht="14.25" customHeight="1" x14ac:dyDescent="0.35">
      <c r="A35" s="4"/>
      <c r="B35" s="4"/>
      <c r="C35" s="4"/>
      <c r="D35" s="4"/>
      <c r="E35" s="4"/>
      <c r="F35" s="4"/>
      <c r="G35" s="4"/>
      <c r="H35" s="4"/>
      <c r="I35" s="4"/>
      <c r="J35" s="4"/>
      <c r="K35" s="4"/>
      <c r="L35" s="4"/>
      <c r="M35" s="4"/>
      <c r="N35" s="4"/>
      <c r="O35" s="4"/>
      <c r="P35" s="4"/>
      <c r="Q35" s="4"/>
      <c r="R35" s="4"/>
      <c r="S35" s="4"/>
      <c r="T35" s="4"/>
      <c r="U35" s="4"/>
      <c r="V35" s="4"/>
      <c r="W35" s="4"/>
      <c r="X35" s="4"/>
      <c r="Y35" s="4"/>
      <c r="Z35" s="4"/>
    </row>
    <row r="36" spans="1:26" ht="14.25" customHeight="1" x14ac:dyDescent="0.35">
      <c r="A36" s="4"/>
      <c r="B36" s="4"/>
      <c r="C36" s="4"/>
      <c r="D36" s="4"/>
      <c r="E36" s="4"/>
      <c r="F36" s="4"/>
      <c r="G36" s="4"/>
      <c r="H36" s="4"/>
      <c r="I36" s="4"/>
      <c r="J36" s="4"/>
      <c r="K36" s="4"/>
      <c r="L36" s="4"/>
      <c r="M36" s="4"/>
      <c r="N36" s="4"/>
      <c r="O36" s="4"/>
      <c r="P36" s="4"/>
      <c r="Q36" s="4"/>
      <c r="R36" s="4"/>
      <c r="S36" s="4"/>
      <c r="T36" s="4"/>
      <c r="U36" s="4"/>
      <c r="V36" s="4"/>
      <c r="W36" s="4"/>
      <c r="X36" s="4"/>
      <c r="Y36" s="4"/>
      <c r="Z36" s="4"/>
    </row>
    <row r="37" spans="1:26" ht="14.25" customHeight="1" x14ac:dyDescent="0.35">
      <c r="A37" s="4"/>
      <c r="B37" s="4"/>
      <c r="C37" s="4"/>
      <c r="D37" s="4"/>
      <c r="E37" s="4"/>
      <c r="F37" s="4"/>
      <c r="G37" s="4"/>
      <c r="H37" s="4"/>
      <c r="I37" s="4"/>
      <c r="J37" s="4"/>
      <c r="K37" s="4"/>
      <c r="L37" s="4"/>
      <c r="M37" s="4"/>
      <c r="N37" s="4"/>
      <c r="O37" s="4"/>
      <c r="P37" s="4"/>
      <c r="Q37" s="4"/>
      <c r="R37" s="4"/>
      <c r="S37" s="4"/>
      <c r="T37" s="4"/>
      <c r="U37" s="4"/>
      <c r="V37" s="4"/>
      <c r="W37" s="4"/>
      <c r="X37" s="4"/>
      <c r="Y37" s="4"/>
      <c r="Z37" s="4"/>
    </row>
    <row r="38" spans="1:26" ht="14.25" customHeight="1" x14ac:dyDescent="0.35">
      <c r="A38" s="4"/>
      <c r="B38" s="4"/>
      <c r="C38" s="4"/>
      <c r="D38" s="4"/>
      <c r="E38" s="4"/>
      <c r="F38" s="4"/>
      <c r="G38" s="4"/>
      <c r="H38" s="4"/>
      <c r="I38" s="4"/>
      <c r="J38" s="4"/>
      <c r="K38" s="4"/>
      <c r="L38" s="4"/>
      <c r="M38" s="4"/>
      <c r="N38" s="4"/>
      <c r="O38" s="4"/>
      <c r="P38" s="4"/>
      <c r="Q38" s="4"/>
      <c r="R38" s="4"/>
      <c r="S38" s="4"/>
      <c r="T38" s="4"/>
      <c r="U38" s="4"/>
      <c r="V38" s="4"/>
      <c r="W38" s="4"/>
      <c r="X38" s="4"/>
      <c r="Y38" s="4"/>
      <c r="Z38" s="4"/>
    </row>
    <row r="39" spans="1:26" ht="14.25" customHeight="1" x14ac:dyDescent="0.35">
      <c r="A39" s="4"/>
      <c r="B39" s="4"/>
      <c r="C39" s="4"/>
      <c r="D39" s="4"/>
      <c r="E39" s="4"/>
      <c r="F39" s="4"/>
      <c r="G39" s="4"/>
      <c r="H39" s="4"/>
      <c r="I39" s="4"/>
      <c r="J39" s="4"/>
      <c r="K39" s="4"/>
      <c r="L39" s="4"/>
      <c r="M39" s="4"/>
      <c r="N39" s="4"/>
      <c r="O39" s="4"/>
      <c r="P39" s="4"/>
      <c r="Q39" s="4"/>
      <c r="R39" s="4"/>
      <c r="S39" s="4"/>
      <c r="T39" s="4"/>
      <c r="U39" s="4"/>
      <c r="V39" s="4"/>
      <c r="W39" s="4"/>
      <c r="X39" s="4"/>
      <c r="Y39" s="4"/>
      <c r="Z39" s="4"/>
    </row>
    <row r="40" spans="1:26" ht="14.25" customHeight="1" x14ac:dyDescent="0.35">
      <c r="A40" s="4"/>
      <c r="B40" s="4"/>
      <c r="C40" s="4"/>
      <c r="D40" s="4"/>
      <c r="E40" s="4"/>
      <c r="F40" s="4"/>
      <c r="G40" s="4"/>
      <c r="H40" s="4"/>
      <c r="I40" s="4"/>
      <c r="J40" s="4"/>
      <c r="K40" s="4"/>
      <c r="L40" s="4"/>
      <c r="M40" s="4"/>
      <c r="N40" s="4"/>
      <c r="O40" s="4"/>
      <c r="P40" s="4"/>
      <c r="Q40" s="4"/>
      <c r="R40" s="4"/>
      <c r="S40" s="4"/>
      <c r="T40" s="4"/>
      <c r="U40" s="4"/>
      <c r="V40" s="4"/>
      <c r="W40" s="4"/>
      <c r="X40" s="4"/>
      <c r="Y40" s="4"/>
      <c r="Z40" s="4"/>
    </row>
    <row r="41" spans="1:26" ht="14.25" customHeight="1" x14ac:dyDescent="0.35">
      <c r="A41" s="4"/>
      <c r="B41" s="4"/>
      <c r="C41" s="4"/>
      <c r="D41" s="4"/>
      <c r="E41" s="4"/>
      <c r="F41" s="4"/>
      <c r="G41" s="4"/>
      <c r="H41" s="4"/>
      <c r="I41" s="4"/>
      <c r="J41" s="4"/>
      <c r="K41" s="4"/>
      <c r="L41" s="4"/>
      <c r="M41" s="4"/>
      <c r="N41" s="4"/>
      <c r="O41" s="4"/>
      <c r="P41" s="4"/>
      <c r="Q41" s="4"/>
      <c r="R41" s="4"/>
      <c r="S41" s="4"/>
      <c r="T41" s="4"/>
      <c r="U41" s="4"/>
      <c r="V41" s="4"/>
      <c r="W41" s="4"/>
      <c r="X41" s="4"/>
      <c r="Y41" s="4"/>
      <c r="Z41" s="4"/>
    </row>
    <row r="42" spans="1:26" ht="14.25" customHeight="1" x14ac:dyDescent="0.35">
      <c r="A42" s="4"/>
      <c r="B42" s="4"/>
      <c r="C42" s="4"/>
      <c r="D42" s="4"/>
      <c r="E42" s="4"/>
      <c r="F42" s="4"/>
      <c r="G42" s="4"/>
      <c r="H42" s="4"/>
      <c r="I42" s="4"/>
      <c r="J42" s="4"/>
      <c r="K42" s="4"/>
      <c r="L42" s="4"/>
      <c r="M42" s="4"/>
      <c r="N42" s="4"/>
      <c r="O42" s="4"/>
      <c r="P42" s="4"/>
      <c r="Q42" s="4"/>
      <c r="R42" s="4"/>
      <c r="S42" s="4"/>
      <c r="T42" s="4"/>
      <c r="U42" s="4"/>
      <c r="V42" s="4"/>
      <c r="W42" s="4"/>
      <c r="X42" s="4"/>
      <c r="Y42" s="4"/>
      <c r="Z42" s="4"/>
    </row>
    <row r="43" spans="1:26" ht="14.25" customHeight="1" x14ac:dyDescent="0.35">
      <c r="A43" s="4"/>
      <c r="B43" s="4"/>
      <c r="C43" s="4"/>
      <c r="D43" s="4"/>
      <c r="E43" s="4"/>
      <c r="F43" s="4"/>
      <c r="G43" s="4"/>
      <c r="H43" s="4"/>
      <c r="I43" s="4"/>
      <c r="J43" s="4"/>
      <c r="K43" s="4"/>
      <c r="L43" s="4"/>
      <c r="M43" s="4"/>
      <c r="N43" s="4"/>
      <c r="O43" s="4"/>
      <c r="P43" s="4"/>
      <c r="Q43" s="4"/>
      <c r="R43" s="4"/>
      <c r="S43" s="4"/>
      <c r="T43" s="4"/>
      <c r="U43" s="4"/>
      <c r="V43" s="4"/>
      <c r="W43" s="4"/>
      <c r="X43" s="4"/>
      <c r="Y43" s="4"/>
      <c r="Z43" s="4"/>
    </row>
    <row r="44" spans="1:26" ht="14.25" customHeight="1" x14ac:dyDescent="0.35">
      <c r="A44" s="4"/>
      <c r="B44" s="4"/>
      <c r="C44" s="4"/>
      <c r="D44" s="4"/>
      <c r="E44" s="4"/>
      <c r="F44" s="4"/>
      <c r="G44" s="4"/>
      <c r="H44" s="4"/>
      <c r="I44" s="4"/>
      <c r="J44" s="4"/>
      <c r="K44" s="4"/>
      <c r="L44" s="4"/>
      <c r="M44" s="4"/>
      <c r="N44" s="4"/>
      <c r="O44" s="4"/>
      <c r="P44" s="4"/>
      <c r="Q44" s="4"/>
      <c r="R44" s="4"/>
      <c r="S44" s="4"/>
      <c r="T44" s="4"/>
      <c r="U44" s="4"/>
      <c r="V44" s="4"/>
      <c r="W44" s="4"/>
      <c r="X44" s="4"/>
      <c r="Y44" s="4"/>
      <c r="Z44" s="4"/>
    </row>
    <row r="45" spans="1:26" ht="14.25" customHeight="1" x14ac:dyDescent="0.35">
      <c r="A45" s="4"/>
      <c r="B45" s="4"/>
      <c r="C45" s="4"/>
      <c r="D45" s="4"/>
      <c r="E45" s="4"/>
      <c r="F45" s="4"/>
      <c r="G45" s="4"/>
      <c r="H45" s="4"/>
      <c r="I45" s="4"/>
      <c r="J45" s="4"/>
      <c r="K45" s="4"/>
      <c r="L45" s="4"/>
      <c r="M45" s="4"/>
      <c r="N45" s="4"/>
      <c r="O45" s="4"/>
      <c r="P45" s="4"/>
      <c r="Q45" s="4"/>
      <c r="R45" s="4"/>
      <c r="S45" s="4"/>
      <c r="T45" s="4"/>
      <c r="U45" s="4"/>
      <c r="V45" s="4"/>
      <c r="W45" s="4"/>
      <c r="X45" s="4"/>
      <c r="Y45" s="4"/>
      <c r="Z45" s="4"/>
    </row>
    <row r="46" spans="1:26" ht="14.25" customHeight="1" x14ac:dyDescent="0.35">
      <c r="A46" s="4"/>
      <c r="B46" s="4"/>
      <c r="C46" s="4"/>
      <c r="D46" s="4"/>
      <c r="E46" s="4"/>
      <c r="F46" s="4"/>
      <c r="G46" s="4"/>
      <c r="H46" s="4"/>
      <c r="I46" s="4"/>
      <c r="J46" s="4"/>
      <c r="K46" s="4"/>
      <c r="L46" s="4"/>
      <c r="M46" s="4"/>
      <c r="N46" s="4"/>
      <c r="O46" s="4"/>
      <c r="P46" s="4"/>
      <c r="Q46" s="4"/>
      <c r="R46" s="4"/>
      <c r="S46" s="4"/>
      <c r="T46" s="4"/>
      <c r="U46" s="4"/>
      <c r="V46" s="4"/>
      <c r="W46" s="4"/>
      <c r="X46" s="4"/>
      <c r="Y46" s="4"/>
      <c r="Z46" s="4"/>
    </row>
    <row r="47" spans="1:26" ht="14.25" customHeight="1" x14ac:dyDescent="0.35">
      <c r="A47" s="4"/>
      <c r="B47" s="4"/>
      <c r="C47" s="4"/>
      <c r="D47" s="4"/>
      <c r="E47" s="4"/>
      <c r="F47" s="4"/>
      <c r="G47" s="4"/>
      <c r="H47" s="4"/>
      <c r="I47" s="4"/>
      <c r="J47" s="4"/>
      <c r="K47" s="4"/>
      <c r="L47" s="4"/>
      <c r="M47" s="4"/>
      <c r="N47" s="4"/>
      <c r="O47" s="4"/>
      <c r="P47" s="4"/>
      <c r="Q47" s="4"/>
      <c r="R47" s="4"/>
      <c r="S47" s="4"/>
      <c r="T47" s="4"/>
      <c r="U47" s="4"/>
      <c r="V47" s="4"/>
      <c r="W47" s="4"/>
      <c r="X47" s="4"/>
      <c r="Y47" s="4"/>
      <c r="Z47" s="4"/>
    </row>
    <row r="48" spans="1:26" ht="14.25" customHeight="1" x14ac:dyDescent="0.35">
      <c r="A48" s="4"/>
      <c r="B48" s="4"/>
      <c r="C48" s="4"/>
      <c r="D48" s="4"/>
      <c r="E48" s="4"/>
      <c r="F48" s="4"/>
      <c r="G48" s="4"/>
      <c r="H48" s="4"/>
      <c r="I48" s="4"/>
      <c r="J48" s="4"/>
      <c r="K48" s="4"/>
      <c r="L48" s="4"/>
      <c r="M48" s="4"/>
      <c r="N48" s="4"/>
      <c r="O48" s="4"/>
      <c r="P48" s="4"/>
      <c r="Q48" s="4"/>
      <c r="R48" s="4"/>
      <c r="S48" s="4"/>
      <c r="T48" s="4"/>
      <c r="U48" s="4"/>
      <c r="V48" s="4"/>
      <c r="W48" s="4"/>
      <c r="X48" s="4"/>
      <c r="Y48" s="4"/>
      <c r="Z48" s="4"/>
    </row>
    <row r="49" spans="1:26" ht="14.25" customHeight="1" x14ac:dyDescent="0.35">
      <c r="A49" s="4"/>
      <c r="B49" s="4"/>
      <c r="C49" s="4"/>
      <c r="D49" s="4"/>
      <c r="E49" s="4"/>
      <c r="F49" s="4"/>
      <c r="G49" s="4"/>
      <c r="H49" s="4"/>
      <c r="I49" s="4"/>
      <c r="J49" s="4"/>
      <c r="K49" s="4"/>
      <c r="L49" s="4"/>
      <c r="M49" s="4"/>
      <c r="N49" s="4"/>
      <c r="O49" s="4"/>
      <c r="P49" s="4"/>
      <c r="Q49" s="4"/>
      <c r="R49" s="4"/>
      <c r="S49" s="4"/>
      <c r="T49" s="4"/>
      <c r="U49" s="4"/>
      <c r="V49" s="4"/>
      <c r="W49" s="4"/>
      <c r="X49" s="4"/>
      <c r="Y49" s="4"/>
      <c r="Z49" s="4"/>
    </row>
    <row r="50" spans="1:26" ht="14.25" customHeight="1" x14ac:dyDescent="0.35">
      <c r="A50" s="4"/>
      <c r="B50" s="4"/>
      <c r="C50" s="4"/>
      <c r="D50" s="4"/>
      <c r="E50" s="4"/>
      <c r="F50" s="4"/>
      <c r="G50" s="4"/>
      <c r="H50" s="4"/>
      <c r="I50" s="4"/>
      <c r="J50" s="4"/>
      <c r="K50" s="4"/>
      <c r="L50" s="4"/>
      <c r="M50" s="4"/>
      <c r="N50" s="4"/>
      <c r="O50" s="4"/>
      <c r="P50" s="4"/>
      <c r="Q50" s="4"/>
      <c r="R50" s="4"/>
      <c r="S50" s="4"/>
      <c r="T50" s="4"/>
      <c r="U50" s="4"/>
      <c r="V50" s="4"/>
      <c r="W50" s="4"/>
      <c r="X50" s="4"/>
      <c r="Y50" s="4"/>
      <c r="Z50" s="4"/>
    </row>
    <row r="51" spans="1:26" ht="14.25" customHeight="1" x14ac:dyDescent="0.35">
      <c r="A51" s="4"/>
      <c r="B51" s="4"/>
      <c r="C51" s="4"/>
      <c r="D51" s="4"/>
      <c r="E51" s="4"/>
      <c r="F51" s="4"/>
      <c r="G51" s="4"/>
      <c r="H51" s="4"/>
      <c r="I51" s="4"/>
      <c r="J51" s="4"/>
      <c r="K51" s="4"/>
      <c r="L51" s="4"/>
      <c r="M51" s="4"/>
      <c r="N51" s="4"/>
      <c r="O51" s="4"/>
      <c r="P51" s="4"/>
      <c r="Q51" s="4"/>
      <c r="R51" s="4"/>
      <c r="S51" s="4"/>
      <c r="T51" s="4"/>
      <c r="U51" s="4"/>
      <c r="V51" s="4"/>
      <c r="W51" s="4"/>
      <c r="X51" s="4"/>
      <c r="Y51" s="4"/>
      <c r="Z51" s="4"/>
    </row>
    <row r="52" spans="1:26" ht="14.25" customHeight="1" x14ac:dyDescent="0.35">
      <c r="A52" s="4"/>
      <c r="B52" s="4"/>
      <c r="C52" s="4"/>
      <c r="D52" s="4"/>
      <c r="E52" s="4"/>
      <c r="F52" s="4"/>
      <c r="G52" s="4"/>
      <c r="H52" s="4"/>
      <c r="I52" s="4"/>
      <c r="J52" s="4"/>
      <c r="K52" s="4"/>
      <c r="L52" s="4"/>
      <c r="M52" s="4"/>
      <c r="N52" s="4"/>
      <c r="O52" s="4"/>
      <c r="P52" s="4"/>
      <c r="Q52" s="4"/>
      <c r="R52" s="4"/>
      <c r="S52" s="4"/>
      <c r="T52" s="4"/>
      <c r="U52" s="4"/>
      <c r="V52" s="4"/>
      <c r="W52" s="4"/>
      <c r="X52" s="4"/>
      <c r="Y52" s="4"/>
      <c r="Z52" s="4"/>
    </row>
    <row r="53" spans="1:26" ht="14.25" customHeight="1" x14ac:dyDescent="0.35">
      <c r="V53" s="4"/>
      <c r="W53" s="4"/>
      <c r="X53" s="4"/>
      <c r="Y53" s="4"/>
      <c r="Z53" s="4"/>
    </row>
    <row r="54" spans="1:26" ht="19.5" customHeight="1" x14ac:dyDescent="0.35"/>
    <row r="55" spans="1:26" ht="30" customHeight="1" x14ac:dyDescent="0.35"/>
    <row r="56" spans="1:26" ht="30" customHeight="1" x14ac:dyDescent="0.35"/>
    <row r="57" spans="1:26" ht="30" customHeight="1" x14ac:dyDescent="0.35"/>
    <row r="58" spans="1:26" ht="30" customHeight="1" x14ac:dyDescent="0.35"/>
    <row r="59" spans="1:26" ht="30" customHeight="1" x14ac:dyDescent="0.35"/>
    <row r="60" spans="1:26" ht="15.75" customHeight="1" x14ac:dyDescent="0.35"/>
    <row r="61" spans="1:26" ht="14.25" customHeight="1" x14ac:dyDescent="0.35"/>
    <row r="62" spans="1:26" ht="14.25" customHeight="1" x14ac:dyDescent="0.35"/>
    <row r="63" spans="1:26" ht="14.25" customHeight="1" x14ac:dyDescent="0.35"/>
    <row r="64" spans="1:26" ht="14.25" customHeight="1" x14ac:dyDescent="0.35"/>
    <row r="65" ht="14.25" customHeight="1" x14ac:dyDescent="0.35"/>
    <row r="66" ht="14.25" customHeight="1" x14ac:dyDescent="0.35"/>
    <row r="67" ht="14.25" customHeight="1" x14ac:dyDescent="0.35"/>
    <row r="68" ht="14.25" customHeight="1" x14ac:dyDescent="0.35"/>
    <row r="69" ht="14.25" customHeight="1" x14ac:dyDescent="0.35"/>
    <row r="70" ht="14.25" customHeight="1" x14ac:dyDescent="0.35"/>
    <row r="71" ht="14.25" customHeight="1" x14ac:dyDescent="0.35"/>
    <row r="72" ht="14.25" customHeight="1" x14ac:dyDescent="0.35"/>
    <row r="73" ht="14.25" customHeight="1" x14ac:dyDescent="0.35"/>
    <row r="74" ht="14.25" customHeight="1" x14ac:dyDescent="0.35"/>
    <row r="75" ht="14.25" customHeight="1" x14ac:dyDescent="0.35"/>
    <row r="76" ht="14.25" customHeight="1" x14ac:dyDescent="0.35"/>
    <row r="77" ht="14.25" customHeight="1" x14ac:dyDescent="0.35"/>
    <row r="78" ht="14.25" customHeight="1" x14ac:dyDescent="0.35"/>
    <row r="79" ht="14.25" customHeight="1" x14ac:dyDescent="0.35"/>
    <row r="80" ht="14.25" customHeight="1" x14ac:dyDescent="0.35"/>
    <row r="81" spans="2:21" ht="14.25" customHeight="1" x14ac:dyDescent="0.35">
      <c r="B81" s="58" t="s">
        <v>138</v>
      </c>
      <c r="C81" s="53"/>
      <c r="D81" s="53"/>
      <c r="E81" s="53"/>
      <c r="F81" s="53"/>
      <c r="G81" s="53"/>
      <c r="H81" s="53"/>
      <c r="I81" s="53"/>
      <c r="J81" s="53"/>
      <c r="K81" s="53"/>
      <c r="L81" s="53"/>
      <c r="M81" s="53"/>
      <c r="N81" s="53"/>
      <c r="O81" s="53"/>
      <c r="P81" s="53"/>
      <c r="Q81" s="53"/>
      <c r="R81" s="53"/>
      <c r="S81" s="53"/>
      <c r="T81" s="53"/>
      <c r="U81" s="53"/>
    </row>
    <row r="82" spans="2:21" ht="14.25" customHeight="1" x14ac:dyDescent="0.35">
      <c r="B82" s="63" t="s">
        <v>68</v>
      </c>
      <c r="C82" s="64"/>
      <c r="D82" s="64"/>
      <c r="E82" s="64"/>
      <c r="F82" s="64"/>
      <c r="G82" s="64"/>
      <c r="H82" s="64"/>
      <c r="I82" s="64"/>
      <c r="J82" s="64"/>
      <c r="K82" s="64"/>
      <c r="L82" s="64"/>
      <c r="M82" s="64"/>
      <c r="N82" s="64"/>
      <c r="O82" s="64"/>
      <c r="P82" s="64"/>
      <c r="Q82" s="64"/>
      <c r="R82" s="64"/>
      <c r="S82" s="64"/>
      <c r="T82" s="64"/>
      <c r="U82" s="64"/>
    </row>
    <row r="83" spans="2:21" ht="14.25" customHeight="1" x14ac:dyDescent="0.35">
      <c r="B83" s="63" t="s">
        <v>69</v>
      </c>
      <c r="C83" s="64"/>
      <c r="D83" s="64"/>
      <c r="E83" s="64"/>
      <c r="F83" s="64"/>
      <c r="G83" s="64"/>
      <c r="H83" s="64"/>
      <c r="I83" s="64"/>
      <c r="J83" s="64"/>
      <c r="K83" s="64"/>
      <c r="L83" s="64"/>
      <c r="M83" s="64"/>
      <c r="N83" s="64"/>
      <c r="O83" s="64"/>
      <c r="P83" s="64"/>
      <c r="Q83" s="64"/>
      <c r="R83" s="64"/>
      <c r="S83" s="64"/>
      <c r="T83" s="64"/>
      <c r="U83" s="64"/>
    </row>
    <row r="84" spans="2:21" ht="14.25" customHeight="1" x14ac:dyDescent="0.35">
      <c r="B84" s="63" t="s">
        <v>70</v>
      </c>
      <c r="C84" s="64"/>
      <c r="D84" s="64"/>
      <c r="E84" s="64"/>
      <c r="F84" s="64"/>
      <c r="G84" s="64"/>
      <c r="H84" s="64"/>
      <c r="I84" s="64"/>
      <c r="J84" s="64"/>
      <c r="K84" s="64"/>
      <c r="L84" s="64"/>
      <c r="M84" s="64"/>
      <c r="N84" s="64"/>
      <c r="O84" s="64"/>
      <c r="P84" s="64"/>
      <c r="Q84" s="64"/>
      <c r="R84" s="64"/>
      <c r="S84" s="64"/>
      <c r="T84" s="64"/>
      <c r="U84" s="64"/>
    </row>
    <row r="85" spans="2:21" ht="14.25" customHeight="1" x14ac:dyDescent="0.35">
      <c r="B85" s="63" t="s">
        <v>71</v>
      </c>
      <c r="C85" s="64"/>
      <c r="D85" s="64"/>
      <c r="E85" s="64"/>
      <c r="F85" s="64"/>
      <c r="G85" s="64"/>
      <c r="H85" s="64"/>
      <c r="I85" s="64"/>
      <c r="J85" s="64"/>
      <c r="K85" s="64"/>
      <c r="L85" s="64"/>
      <c r="M85" s="64"/>
      <c r="N85" s="64"/>
      <c r="O85" s="64"/>
      <c r="P85" s="64"/>
      <c r="Q85" s="64"/>
      <c r="R85" s="64"/>
      <c r="S85" s="64"/>
      <c r="T85" s="64"/>
      <c r="U85" s="64"/>
    </row>
    <row r="86" spans="2:21" ht="14.25" customHeight="1" x14ac:dyDescent="0.35">
      <c r="B86" s="63" t="s">
        <v>72</v>
      </c>
      <c r="C86" s="64"/>
      <c r="D86" s="64"/>
      <c r="E86" s="64"/>
      <c r="F86" s="64"/>
      <c r="G86" s="64"/>
      <c r="H86" s="64"/>
      <c r="I86" s="64"/>
      <c r="J86" s="64"/>
      <c r="K86" s="64"/>
      <c r="L86" s="64"/>
      <c r="M86" s="64"/>
      <c r="N86" s="64"/>
      <c r="O86" s="64"/>
      <c r="P86" s="64"/>
      <c r="Q86" s="64"/>
      <c r="R86" s="64"/>
      <c r="S86" s="64"/>
      <c r="T86" s="64"/>
      <c r="U86" s="64"/>
    </row>
    <row r="87" spans="2:21" ht="14.25" customHeight="1" x14ac:dyDescent="0.35"/>
    <row r="88" spans="2:21" ht="14.25" customHeight="1" x14ac:dyDescent="0.35"/>
    <row r="89" spans="2:21" ht="14.25" customHeight="1" x14ac:dyDescent="0.35"/>
    <row r="90" spans="2:21" ht="14.25" customHeight="1" x14ac:dyDescent="0.35"/>
    <row r="91" spans="2:21" ht="14.25" customHeight="1" x14ac:dyDescent="0.35"/>
    <row r="92" spans="2:21" ht="14.25" customHeight="1" x14ac:dyDescent="0.35"/>
    <row r="93" spans="2:21" ht="14.25" customHeight="1" x14ac:dyDescent="0.35"/>
    <row r="94" spans="2:21" ht="14.25" customHeight="1" x14ac:dyDescent="0.35"/>
    <row r="95" spans="2:21" ht="14.25" customHeight="1" x14ac:dyDescent="0.35"/>
    <row r="96" spans="2:21" ht="14.25" customHeight="1" x14ac:dyDescent="0.35"/>
    <row r="97" ht="14.25" customHeight="1" x14ac:dyDescent="0.35"/>
    <row r="98" ht="14.25" customHeight="1" x14ac:dyDescent="0.35"/>
    <row r="99" ht="14.25" customHeight="1" x14ac:dyDescent="0.35"/>
    <row r="100" ht="14.25" customHeight="1" x14ac:dyDescent="0.35"/>
    <row r="101" ht="14.25" customHeight="1" x14ac:dyDescent="0.35"/>
    <row r="102" ht="14.25" customHeight="1" x14ac:dyDescent="0.35"/>
    <row r="103" ht="14.25" customHeight="1" x14ac:dyDescent="0.35"/>
    <row r="104" ht="14.25" customHeight="1" x14ac:dyDescent="0.35"/>
    <row r="105" ht="14.25" customHeight="1" x14ac:dyDescent="0.35"/>
    <row r="106" ht="14.25" customHeight="1" x14ac:dyDescent="0.35"/>
    <row r="107" ht="14.25" customHeight="1" x14ac:dyDescent="0.35"/>
    <row r="108" ht="14.25" customHeight="1" x14ac:dyDescent="0.35"/>
    <row r="109" ht="14.25" customHeight="1" x14ac:dyDescent="0.35"/>
    <row r="110" ht="14.25" customHeight="1" x14ac:dyDescent="0.35"/>
    <row r="111" ht="14.25" customHeight="1" x14ac:dyDescent="0.35"/>
    <row r="112" ht="14.25" customHeight="1" x14ac:dyDescent="0.35"/>
    <row r="113" ht="14.25" customHeight="1" x14ac:dyDescent="0.35"/>
    <row r="114" ht="14.25" customHeight="1" x14ac:dyDescent="0.35"/>
    <row r="115" ht="14.25" customHeight="1" x14ac:dyDescent="0.35"/>
    <row r="116" ht="14.25" customHeight="1" x14ac:dyDescent="0.35"/>
    <row r="117" ht="14.25" customHeight="1" x14ac:dyDescent="0.35"/>
    <row r="118" ht="14.25" customHeight="1" x14ac:dyDescent="0.35"/>
    <row r="119" ht="14.25" customHeight="1" x14ac:dyDescent="0.35"/>
    <row r="120" ht="14.25" customHeight="1" x14ac:dyDescent="0.35"/>
    <row r="121" ht="14.25" customHeight="1" x14ac:dyDescent="0.35"/>
    <row r="122" ht="14.25" customHeight="1" x14ac:dyDescent="0.35"/>
    <row r="123" ht="14.25" customHeight="1" x14ac:dyDescent="0.35"/>
    <row r="124" ht="14.25" customHeight="1" x14ac:dyDescent="0.35"/>
    <row r="125" ht="14.25" customHeight="1" x14ac:dyDescent="0.35"/>
    <row r="126" ht="14.25" customHeight="1" x14ac:dyDescent="0.35"/>
    <row r="127" ht="14.25" customHeight="1" x14ac:dyDescent="0.35"/>
    <row r="128" ht="14.25" customHeight="1" x14ac:dyDescent="0.35"/>
    <row r="129" ht="14.25" customHeight="1" x14ac:dyDescent="0.35"/>
    <row r="130" ht="14.25" customHeight="1" x14ac:dyDescent="0.35"/>
    <row r="131" ht="14.25" customHeight="1" x14ac:dyDescent="0.35"/>
    <row r="132" ht="14.25" customHeight="1" x14ac:dyDescent="0.35"/>
    <row r="133" ht="14.25" customHeight="1" x14ac:dyDescent="0.35"/>
    <row r="134" ht="14.25" customHeight="1" x14ac:dyDescent="0.35"/>
    <row r="135" ht="14.25" customHeight="1" x14ac:dyDescent="0.35"/>
    <row r="136" ht="14.25" customHeight="1" x14ac:dyDescent="0.35"/>
    <row r="137" ht="14.25" customHeight="1" x14ac:dyDescent="0.35"/>
    <row r="138" ht="14.25" customHeight="1" x14ac:dyDescent="0.35"/>
    <row r="139" ht="14.25" customHeight="1" x14ac:dyDescent="0.35"/>
    <row r="140" ht="14.25" customHeight="1" x14ac:dyDescent="0.35"/>
    <row r="141" ht="14.25" customHeight="1" x14ac:dyDescent="0.35"/>
    <row r="142" ht="14.25" customHeight="1" x14ac:dyDescent="0.35"/>
    <row r="143" ht="14.25" customHeight="1" x14ac:dyDescent="0.35"/>
    <row r="144" ht="14.25" customHeight="1" x14ac:dyDescent="0.35"/>
    <row r="145" ht="14.25" customHeight="1" x14ac:dyDescent="0.35"/>
    <row r="146" ht="14.25" customHeight="1" x14ac:dyDescent="0.35"/>
    <row r="147" ht="14.25" customHeight="1" x14ac:dyDescent="0.35"/>
    <row r="148" ht="14.25" customHeight="1" x14ac:dyDescent="0.35"/>
    <row r="149" ht="14.25" customHeight="1" x14ac:dyDescent="0.35"/>
    <row r="150" ht="14.25" customHeight="1" x14ac:dyDescent="0.35"/>
    <row r="151" ht="14.25" customHeight="1" x14ac:dyDescent="0.35"/>
    <row r="152" ht="14.25" customHeight="1" x14ac:dyDescent="0.35"/>
    <row r="153" ht="14.25" customHeight="1" x14ac:dyDescent="0.35"/>
    <row r="154" ht="14.25" customHeight="1" x14ac:dyDescent="0.35"/>
    <row r="155" ht="14.25" customHeight="1" x14ac:dyDescent="0.35"/>
    <row r="156" ht="14.25" customHeight="1" x14ac:dyDescent="0.35"/>
    <row r="157" ht="14.25" customHeight="1" x14ac:dyDescent="0.35"/>
    <row r="158" ht="14.25" customHeight="1" x14ac:dyDescent="0.35"/>
    <row r="159" ht="14.25" customHeight="1" x14ac:dyDescent="0.35"/>
    <row r="160" ht="14.25" customHeight="1" x14ac:dyDescent="0.35"/>
    <row r="161" ht="14.25" customHeight="1" x14ac:dyDescent="0.35"/>
    <row r="162" ht="14.25" customHeight="1" x14ac:dyDescent="0.35"/>
    <row r="163" ht="14.25" customHeight="1" x14ac:dyDescent="0.35"/>
    <row r="164" ht="14.25" customHeight="1" x14ac:dyDescent="0.35"/>
    <row r="165" ht="14.25" customHeight="1" x14ac:dyDescent="0.35"/>
    <row r="166" ht="14.25" customHeight="1" x14ac:dyDescent="0.35"/>
    <row r="167" ht="14.25" customHeight="1" x14ac:dyDescent="0.35"/>
    <row r="168" ht="14.25" customHeight="1" x14ac:dyDescent="0.35"/>
    <row r="169" ht="14.25" customHeight="1" x14ac:dyDescent="0.35"/>
    <row r="170" ht="14.25" customHeight="1" x14ac:dyDescent="0.35"/>
    <row r="171" ht="14.25" customHeight="1" x14ac:dyDescent="0.35"/>
    <row r="172" ht="14.25" customHeight="1" x14ac:dyDescent="0.35"/>
    <row r="173" ht="14.25" customHeight="1" x14ac:dyDescent="0.35"/>
    <row r="174" ht="14.25" customHeight="1" x14ac:dyDescent="0.35"/>
    <row r="175" ht="14.25" customHeight="1" x14ac:dyDescent="0.35"/>
    <row r="176" ht="14.25" customHeight="1" x14ac:dyDescent="0.35"/>
    <row r="177" ht="14.25" customHeight="1" x14ac:dyDescent="0.35"/>
    <row r="178" ht="14.25" customHeight="1" x14ac:dyDescent="0.35"/>
    <row r="179" ht="14.25" customHeight="1" x14ac:dyDescent="0.35"/>
    <row r="180" ht="14.25" customHeight="1" x14ac:dyDescent="0.35"/>
    <row r="181" ht="14.25" customHeight="1" x14ac:dyDescent="0.35"/>
    <row r="182" ht="14.25" customHeight="1" x14ac:dyDescent="0.35"/>
    <row r="183" ht="14.25" customHeight="1" x14ac:dyDescent="0.35"/>
    <row r="184" ht="14.25" customHeight="1" x14ac:dyDescent="0.35"/>
    <row r="185" ht="14.25" customHeight="1" x14ac:dyDescent="0.35"/>
    <row r="186" ht="14.25" customHeight="1" x14ac:dyDescent="0.35"/>
    <row r="187" ht="14.25" customHeight="1" x14ac:dyDescent="0.35"/>
    <row r="188" ht="14.25" customHeight="1" x14ac:dyDescent="0.35"/>
    <row r="189" ht="14.25" customHeight="1" x14ac:dyDescent="0.35"/>
    <row r="190" ht="14.25" customHeight="1" x14ac:dyDescent="0.35"/>
    <row r="191" ht="14.25" customHeight="1" x14ac:dyDescent="0.35"/>
    <row r="192" ht="14.25" customHeight="1" x14ac:dyDescent="0.35"/>
    <row r="193" ht="14.25" customHeight="1" x14ac:dyDescent="0.35"/>
    <row r="194" ht="14.25" customHeight="1" x14ac:dyDescent="0.35"/>
    <row r="195" ht="14.25" customHeight="1" x14ac:dyDescent="0.35"/>
    <row r="196" ht="14.25" customHeight="1" x14ac:dyDescent="0.35"/>
    <row r="197" ht="14.25" customHeight="1" x14ac:dyDescent="0.35"/>
    <row r="198" ht="14.25" customHeight="1" x14ac:dyDescent="0.35"/>
    <row r="199" ht="14.25" customHeight="1" x14ac:dyDescent="0.35"/>
    <row r="200" ht="14.25" customHeight="1" x14ac:dyDescent="0.35"/>
    <row r="201" ht="14.25" customHeight="1" x14ac:dyDescent="0.35"/>
    <row r="202" ht="14.25" customHeight="1" x14ac:dyDescent="0.35"/>
    <row r="203" ht="14.25" customHeight="1" x14ac:dyDescent="0.35"/>
    <row r="204" ht="14.25" customHeight="1" x14ac:dyDescent="0.35"/>
    <row r="205" ht="14.25" customHeight="1" x14ac:dyDescent="0.35"/>
    <row r="206" ht="14.25" customHeight="1" x14ac:dyDescent="0.35"/>
    <row r="207" ht="14.25" customHeight="1" x14ac:dyDescent="0.35"/>
    <row r="208" ht="14.25" customHeight="1" x14ac:dyDescent="0.35"/>
    <row r="209" ht="14.25" customHeight="1" x14ac:dyDescent="0.35"/>
    <row r="210" ht="14.25" customHeight="1" x14ac:dyDescent="0.35"/>
    <row r="211" ht="14.25" customHeight="1" x14ac:dyDescent="0.35"/>
    <row r="212" ht="14.25" customHeight="1" x14ac:dyDescent="0.35"/>
    <row r="213" ht="14.25" customHeight="1" x14ac:dyDescent="0.35"/>
    <row r="214" ht="14.25" customHeight="1" x14ac:dyDescent="0.35"/>
    <row r="215" ht="14.25" customHeight="1" x14ac:dyDescent="0.35"/>
    <row r="216" ht="14.25" customHeight="1" x14ac:dyDescent="0.35"/>
    <row r="217" ht="14.25" customHeight="1" x14ac:dyDescent="0.35"/>
    <row r="218" ht="14.25" customHeight="1" x14ac:dyDescent="0.35"/>
    <row r="219" ht="14.25" customHeight="1" x14ac:dyDescent="0.35"/>
    <row r="220" ht="14.25" customHeight="1" x14ac:dyDescent="0.35"/>
    <row r="221" ht="14.25" customHeight="1" x14ac:dyDescent="0.35"/>
    <row r="222" ht="14.25" customHeight="1" x14ac:dyDescent="0.35"/>
    <row r="223" ht="14.25" customHeight="1" x14ac:dyDescent="0.35"/>
    <row r="224" ht="14.25" customHeight="1" x14ac:dyDescent="0.35"/>
    <row r="225" ht="14.25" customHeight="1" x14ac:dyDescent="0.35"/>
    <row r="226" ht="14.25" customHeight="1" x14ac:dyDescent="0.35"/>
    <row r="227" ht="14.25" customHeight="1" x14ac:dyDescent="0.35"/>
    <row r="228" ht="14.25" customHeight="1" x14ac:dyDescent="0.35"/>
    <row r="229" ht="14.25" customHeight="1" x14ac:dyDescent="0.35"/>
    <row r="230" ht="14.25" customHeight="1" x14ac:dyDescent="0.35"/>
    <row r="231" ht="14.25" customHeight="1" x14ac:dyDescent="0.35"/>
    <row r="232" ht="14.25" customHeight="1" x14ac:dyDescent="0.35"/>
    <row r="233" ht="14.25" customHeight="1" x14ac:dyDescent="0.35"/>
    <row r="234" ht="14.25" customHeight="1" x14ac:dyDescent="0.35"/>
    <row r="235" ht="14.25" customHeight="1" x14ac:dyDescent="0.35"/>
    <row r="236" ht="14.25" customHeight="1" x14ac:dyDescent="0.35"/>
    <row r="237" ht="14.25" customHeight="1" x14ac:dyDescent="0.35"/>
    <row r="238" ht="14.25" customHeight="1" x14ac:dyDescent="0.35"/>
    <row r="239" ht="14.25" customHeight="1" x14ac:dyDescent="0.35"/>
    <row r="240" ht="14.25" customHeight="1" x14ac:dyDescent="0.35"/>
    <row r="241" ht="14.25" customHeight="1" x14ac:dyDescent="0.35"/>
    <row r="242" ht="14.25" customHeight="1" x14ac:dyDescent="0.35"/>
    <row r="243" ht="14.25" customHeight="1" x14ac:dyDescent="0.35"/>
    <row r="244" ht="14.25" customHeight="1" x14ac:dyDescent="0.35"/>
    <row r="245" ht="14.25" customHeight="1" x14ac:dyDescent="0.35"/>
    <row r="246" ht="14.25" customHeight="1" x14ac:dyDescent="0.35"/>
    <row r="247" ht="14.25" customHeight="1" x14ac:dyDescent="0.35"/>
    <row r="248" ht="14.25" customHeight="1" x14ac:dyDescent="0.35"/>
    <row r="249" ht="14.25" customHeight="1" x14ac:dyDescent="0.35"/>
    <row r="250" ht="14.25" customHeight="1" x14ac:dyDescent="0.35"/>
    <row r="251" ht="14.25" customHeight="1" x14ac:dyDescent="0.35"/>
    <row r="252" ht="14.25" customHeight="1" x14ac:dyDescent="0.35"/>
    <row r="253" ht="14.25" customHeight="1" x14ac:dyDescent="0.35"/>
    <row r="254" ht="14.25" customHeight="1" x14ac:dyDescent="0.35"/>
    <row r="255" ht="14.25" customHeight="1" x14ac:dyDescent="0.35"/>
    <row r="256" ht="14.25" customHeight="1" x14ac:dyDescent="0.35"/>
    <row r="257" ht="14.25" customHeight="1" x14ac:dyDescent="0.35"/>
    <row r="258" ht="14.25" customHeight="1" x14ac:dyDescent="0.35"/>
    <row r="259" ht="14.25" customHeight="1" x14ac:dyDescent="0.35"/>
    <row r="260" ht="14.25" customHeight="1" x14ac:dyDescent="0.35"/>
    <row r="261" ht="14.25" customHeight="1" x14ac:dyDescent="0.35"/>
    <row r="262" ht="14.25" customHeight="1" x14ac:dyDescent="0.35"/>
    <row r="263" ht="14.25" customHeight="1" x14ac:dyDescent="0.35"/>
    <row r="264" ht="14.25" customHeight="1" x14ac:dyDescent="0.35"/>
    <row r="265" ht="14.25" customHeight="1" x14ac:dyDescent="0.35"/>
    <row r="266" ht="14.25" customHeight="1" x14ac:dyDescent="0.35"/>
    <row r="267" ht="14.25" customHeight="1" x14ac:dyDescent="0.35"/>
    <row r="268" ht="14.25" customHeight="1" x14ac:dyDescent="0.35"/>
    <row r="269" ht="14.25" customHeight="1" x14ac:dyDescent="0.35"/>
    <row r="270" ht="14.25" customHeight="1" x14ac:dyDescent="0.35"/>
    <row r="271" ht="14.25" customHeight="1" x14ac:dyDescent="0.35"/>
    <row r="272" ht="14.25" customHeight="1" x14ac:dyDescent="0.35"/>
    <row r="273" ht="14.25" customHeight="1" x14ac:dyDescent="0.35"/>
    <row r="274" ht="14.25" customHeight="1" x14ac:dyDescent="0.35"/>
    <row r="275" ht="14.25" customHeight="1" x14ac:dyDescent="0.35"/>
    <row r="276" ht="14.25" customHeight="1" x14ac:dyDescent="0.35"/>
    <row r="277" ht="14.25" customHeight="1" x14ac:dyDescent="0.35"/>
    <row r="278" ht="14.25" customHeight="1" x14ac:dyDescent="0.35"/>
    <row r="279" ht="14.25" customHeight="1" x14ac:dyDescent="0.35"/>
    <row r="280" ht="14.25" customHeight="1" x14ac:dyDescent="0.35"/>
    <row r="281" ht="14.25" customHeight="1" x14ac:dyDescent="0.35"/>
    <row r="282" ht="14.25" customHeight="1" x14ac:dyDescent="0.35"/>
    <row r="283" ht="14.25" customHeight="1" x14ac:dyDescent="0.35"/>
    <row r="284" ht="14.25" customHeight="1" x14ac:dyDescent="0.35"/>
    <row r="285" ht="14.25" customHeight="1" x14ac:dyDescent="0.35"/>
    <row r="286" ht="14.25" customHeight="1" x14ac:dyDescent="0.35"/>
    <row r="287" ht="14.25" customHeight="1" x14ac:dyDescent="0.35"/>
    <row r="288" ht="14.25" customHeight="1" x14ac:dyDescent="0.35"/>
    <row r="289" ht="14.25" customHeight="1" x14ac:dyDescent="0.35"/>
    <row r="290" ht="14.25" customHeight="1" x14ac:dyDescent="0.35"/>
    <row r="291" ht="14.25" customHeight="1" x14ac:dyDescent="0.35"/>
    <row r="292" ht="14.25" customHeight="1" x14ac:dyDescent="0.35"/>
    <row r="293" ht="14.25" customHeight="1" x14ac:dyDescent="0.35"/>
    <row r="294" ht="14.25" customHeight="1" x14ac:dyDescent="0.35"/>
    <row r="295" ht="14.25" customHeight="1" x14ac:dyDescent="0.35"/>
    <row r="296" ht="14.25" customHeight="1" x14ac:dyDescent="0.35"/>
    <row r="297" ht="14.25" customHeight="1" x14ac:dyDescent="0.35"/>
    <row r="298" ht="14.25" customHeight="1" x14ac:dyDescent="0.35"/>
    <row r="299" ht="14.25" customHeight="1" x14ac:dyDescent="0.35"/>
    <row r="300" ht="14.25" customHeight="1" x14ac:dyDescent="0.35"/>
    <row r="301" ht="14.25" customHeight="1" x14ac:dyDescent="0.35"/>
    <row r="302" ht="14.25" customHeight="1" x14ac:dyDescent="0.35"/>
    <row r="303" ht="14.25" customHeight="1" x14ac:dyDescent="0.35"/>
    <row r="304" ht="14.25" customHeight="1" x14ac:dyDescent="0.35"/>
    <row r="305" ht="14.25" customHeight="1" x14ac:dyDescent="0.35"/>
    <row r="306" ht="14.25" customHeight="1" x14ac:dyDescent="0.35"/>
    <row r="307" ht="14.25" customHeight="1" x14ac:dyDescent="0.35"/>
    <row r="308" ht="14.25" customHeight="1" x14ac:dyDescent="0.35"/>
    <row r="309" ht="14.25" customHeight="1" x14ac:dyDescent="0.35"/>
    <row r="310" ht="14.25" customHeight="1" x14ac:dyDescent="0.35"/>
    <row r="311" ht="14.25" customHeight="1" x14ac:dyDescent="0.35"/>
    <row r="312" ht="14.25" customHeight="1" x14ac:dyDescent="0.35"/>
    <row r="313" ht="14.25" customHeight="1" x14ac:dyDescent="0.35"/>
    <row r="314" ht="14.25" customHeight="1" x14ac:dyDescent="0.35"/>
    <row r="315" ht="14.25" customHeight="1" x14ac:dyDescent="0.35"/>
    <row r="316" ht="14.25" customHeight="1" x14ac:dyDescent="0.35"/>
    <row r="317" ht="14.25" customHeight="1" x14ac:dyDescent="0.35"/>
    <row r="318" ht="14.25" customHeight="1" x14ac:dyDescent="0.35"/>
    <row r="319" ht="14.25" customHeight="1" x14ac:dyDescent="0.35"/>
    <row r="320" ht="14.25" customHeight="1" x14ac:dyDescent="0.35"/>
    <row r="321" ht="14.25" customHeight="1" x14ac:dyDescent="0.35"/>
    <row r="322" ht="14.25" customHeight="1" x14ac:dyDescent="0.35"/>
    <row r="323" ht="14.25" customHeight="1" x14ac:dyDescent="0.35"/>
    <row r="324" ht="14.25" customHeight="1" x14ac:dyDescent="0.35"/>
    <row r="325" ht="14.25" customHeight="1" x14ac:dyDescent="0.35"/>
    <row r="326" ht="14.25" customHeight="1" x14ac:dyDescent="0.35"/>
    <row r="327" ht="14.25" customHeight="1" x14ac:dyDescent="0.35"/>
    <row r="328" ht="14.25" customHeight="1" x14ac:dyDescent="0.35"/>
    <row r="329" ht="14.25" customHeight="1" x14ac:dyDescent="0.35"/>
    <row r="330" ht="14.25" customHeight="1" x14ac:dyDescent="0.35"/>
    <row r="331" ht="14.25" customHeight="1" x14ac:dyDescent="0.35"/>
    <row r="332" ht="14.25" customHeight="1" x14ac:dyDescent="0.35"/>
    <row r="333" ht="14.25" customHeight="1" x14ac:dyDescent="0.35"/>
    <row r="334" ht="14.25" customHeight="1" x14ac:dyDescent="0.35"/>
    <row r="335" ht="14.25" customHeight="1" x14ac:dyDescent="0.35"/>
    <row r="336" ht="14.25" customHeight="1" x14ac:dyDescent="0.35"/>
    <row r="337" ht="14.25" customHeight="1" x14ac:dyDescent="0.35"/>
    <row r="338" ht="14.25" customHeight="1" x14ac:dyDescent="0.35"/>
    <row r="339" ht="14.25" customHeight="1" x14ac:dyDescent="0.35"/>
    <row r="340" ht="14.25" customHeight="1" x14ac:dyDescent="0.35"/>
    <row r="341" ht="14.25" customHeight="1" x14ac:dyDescent="0.35"/>
    <row r="342" ht="14.25" customHeight="1" x14ac:dyDescent="0.35"/>
    <row r="343" ht="14.25" customHeight="1" x14ac:dyDescent="0.35"/>
    <row r="344" ht="14.25" customHeight="1" x14ac:dyDescent="0.35"/>
    <row r="345" ht="14.25" customHeight="1" x14ac:dyDescent="0.35"/>
    <row r="346" ht="14.25" customHeight="1" x14ac:dyDescent="0.35"/>
    <row r="347" ht="14.25" customHeight="1" x14ac:dyDescent="0.35"/>
    <row r="348" ht="14.25" customHeight="1" x14ac:dyDescent="0.35"/>
    <row r="349" ht="14.25" customHeight="1" x14ac:dyDescent="0.35"/>
    <row r="350" ht="14.25" customHeight="1" x14ac:dyDescent="0.35"/>
    <row r="351" ht="14.25" customHeight="1" x14ac:dyDescent="0.35"/>
    <row r="352" ht="14.25" customHeight="1" x14ac:dyDescent="0.35"/>
    <row r="353" ht="14.25" customHeight="1" x14ac:dyDescent="0.35"/>
    <row r="354" ht="14.25" customHeight="1" x14ac:dyDescent="0.35"/>
    <row r="355" ht="14.25" customHeight="1" x14ac:dyDescent="0.35"/>
    <row r="356" ht="14.25" customHeight="1" x14ac:dyDescent="0.35"/>
    <row r="357" ht="14.25" customHeight="1" x14ac:dyDescent="0.35"/>
    <row r="358" ht="14.25" customHeight="1" x14ac:dyDescent="0.35"/>
    <row r="359" ht="14.25" customHeight="1" x14ac:dyDescent="0.35"/>
    <row r="360" ht="14.25" customHeight="1" x14ac:dyDescent="0.35"/>
    <row r="361" ht="14.25" customHeight="1" x14ac:dyDescent="0.35"/>
    <row r="362" ht="14.25" customHeight="1" x14ac:dyDescent="0.35"/>
    <row r="363" ht="14.25" customHeight="1" x14ac:dyDescent="0.35"/>
    <row r="364" ht="14.25" customHeight="1" x14ac:dyDescent="0.35"/>
    <row r="365" ht="14.25" customHeight="1" x14ac:dyDescent="0.35"/>
    <row r="366" ht="14.25" customHeight="1" x14ac:dyDescent="0.35"/>
    <row r="367" ht="14.25" customHeight="1" x14ac:dyDescent="0.35"/>
    <row r="368" ht="14.25" customHeight="1" x14ac:dyDescent="0.35"/>
    <row r="369" ht="14.25" customHeight="1" x14ac:dyDescent="0.35"/>
    <row r="370" ht="14.25" customHeight="1" x14ac:dyDescent="0.35"/>
    <row r="371" ht="14.25" customHeight="1" x14ac:dyDescent="0.35"/>
    <row r="372" ht="14.25" customHeight="1" x14ac:dyDescent="0.35"/>
    <row r="373" ht="14.25" customHeight="1" x14ac:dyDescent="0.35"/>
    <row r="374" ht="14.25" customHeight="1" x14ac:dyDescent="0.35"/>
    <row r="375" ht="14.25" customHeight="1" x14ac:dyDescent="0.35"/>
    <row r="376" ht="14.25" customHeight="1" x14ac:dyDescent="0.35"/>
    <row r="377" ht="14.25" customHeight="1" x14ac:dyDescent="0.35"/>
    <row r="378" ht="14.25" customHeight="1" x14ac:dyDescent="0.35"/>
    <row r="379" ht="14.25" customHeight="1" x14ac:dyDescent="0.35"/>
    <row r="380" ht="14.25" customHeight="1" x14ac:dyDescent="0.35"/>
    <row r="381" ht="14.25" customHeight="1" x14ac:dyDescent="0.35"/>
    <row r="382" ht="14.25" customHeight="1" x14ac:dyDescent="0.35"/>
    <row r="383" ht="14.25" customHeight="1" x14ac:dyDescent="0.35"/>
    <row r="384" ht="14.25" customHeight="1" x14ac:dyDescent="0.35"/>
    <row r="385" ht="14.25" customHeight="1" x14ac:dyDescent="0.35"/>
    <row r="386" ht="14.25" customHeight="1" x14ac:dyDescent="0.35"/>
    <row r="387" ht="14.25" customHeight="1" x14ac:dyDescent="0.35"/>
    <row r="388" ht="14.25" customHeight="1" x14ac:dyDescent="0.35"/>
    <row r="389" ht="14.25" customHeight="1" x14ac:dyDescent="0.35"/>
    <row r="390" ht="14.25" customHeight="1" x14ac:dyDescent="0.35"/>
    <row r="391" ht="14.25" customHeight="1" x14ac:dyDescent="0.35"/>
    <row r="392" ht="14.25" customHeight="1" x14ac:dyDescent="0.35"/>
    <row r="393" ht="14.25" customHeight="1" x14ac:dyDescent="0.35"/>
    <row r="394" ht="14.25" customHeight="1" x14ac:dyDescent="0.35"/>
    <row r="395" ht="14.25" customHeight="1" x14ac:dyDescent="0.35"/>
    <row r="396" ht="14.25" customHeight="1" x14ac:dyDescent="0.35"/>
    <row r="397" ht="14.25" customHeight="1" x14ac:dyDescent="0.35"/>
    <row r="398" ht="14.25" customHeight="1" x14ac:dyDescent="0.35"/>
    <row r="399" ht="14.25" customHeight="1" x14ac:dyDescent="0.35"/>
    <row r="400" ht="14.25" customHeight="1" x14ac:dyDescent="0.35"/>
    <row r="401" ht="14.25" customHeight="1" x14ac:dyDescent="0.35"/>
    <row r="402" ht="14.25" customHeight="1" x14ac:dyDescent="0.35"/>
    <row r="403" ht="14.25" customHeight="1" x14ac:dyDescent="0.35"/>
    <row r="404" ht="14.25" customHeight="1" x14ac:dyDescent="0.35"/>
    <row r="405" ht="14.25" customHeight="1" x14ac:dyDescent="0.35"/>
    <row r="406" ht="14.25" customHeight="1" x14ac:dyDescent="0.35"/>
    <row r="407" ht="14.25" customHeight="1" x14ac:dyDescent="0.35"/>
    <row r="408" ht="14.25" customHeight="1" x14ac:dyDescent="0.35"/>
    <row r="409" ht="14.25" customHeight="1" x14ac:dyDescent="0.35"/>
    <row r="410" ht="14.25" customHeight="1" x14ac:dyDescent="0.35"/>
    <row r="411" ht="14.25" customHeight="1" x14ac:dyDescent="0.35"/>
    <row r="412" ht="14.25" customHeight="1" x14ac:dyDescent="0.35"/>
    <row r="413" ht="14.25" customHeight="1" x14ac:dyDescent="0.35"/>
    <row r="414" ht="14.25" customHeight="1" x14ac:dyDescent="0.35"/>
    <row r="415" ht="14.25" customHeight="1" x14ac:dyDescent="0.35"/>
    <row r="416" ht="14.25" customHeight="1" x14ac:dyDescent="0.35"/>
    <row r="417" ht="14.25" customHeight="1" x14ac:dyDescent="0.35"/>
    <row r="418" ht="14.25" customHeight="1" x14ac:dyDescent="0.35"/>
    <row r="419" ht="14.25" customHeight="1" x14ac:dyDescent="0.35"/>
    <row r="420" ht="14.25" customHeight="1" x14ac:dyDescent="0.35"/>
    <row r="421" ht="14.25" customHeight="1" x14ac:dyDescent="0.35"/>
    <row r="422" ht="14.25" customHeight="1" x14ac:dyDescent="0.35"/>
    <row r="423" ht="14.25" customHeight="1" x14ac:dyDescent="0.35"/>
    <row r="424" ht="14.25" customHeight="1" x14ac:dyDescent="0.35"/>
    <row r="425" ht="14.25" customHeight="1" x14ac:dyDescent="0.35"/>
    <row r="426" ht="14.25" customHeight="1" x14ac:dyDescent="0.35"/>
    <row r="427" ht="14.25" customHeight="1" x14ac:dyDescent="0.35"/>
    <row r="428" ht="14.25" customHeight="1" x14ac:dyDescent="0.35"/>
    <row r="429" ht="14.25" customHeight="1" x14ac:dyDescent="0.35"/>
    <row r="430" ht="14.25" customHeight="1" x14ac:dyDescent="0.35"/>
    <row r="431" ht="14.25" customHeight="1" x14ac:dyDescent="0.35"/>
    <row r="432" ht="14.25" customHeight="1" x14ac:dyDescent="0.35"/>
    <row r="433" ht="14.25" customHeight="1" x14ac:dyDescent="0.35"/>
    <row r="434" ht="14.25" customHeight="1" x14ac:dyDescent="0.35"/>
    <row r="435" ht="14.25" customHeight="1" x14ac:dyDescent="0.35"/>
    <row r="436" ht="14.25" customHeight="1" x14ac:dyDescent="0.35"/>
    <row r="437" ht="14.25" customHeight="1" x14ac:dyDescent="0.35"/>
    <row r="438" ht="14.25" customHeight="1" x14ac:dyDescent="0.35"/>
    <row r="439" ht="14.25" customHeight="1" x14ac:dyDescent="0.35"/>
    <row r="440" ht="14.25" customHeight="1" x14ac:dyDescent="0.35"/>
    <row r="441" ht="14.25" customHeight="1" x14ac:dyDescent="0.35"/>
    <row r="442" ht="14.25" customHeight="1" x14ac:dyDescent="0.35"/>
    <row r="443" ht="14.25" customHeight="1" x14ac:dyDescent="0.35"/>
    <row r="444" ht="14.25" customHeight="1" x14ac:dyDescent="0.35"/>
    <row r="445" ht="14.25" customHeight="1" x14ac:dyDescent="0.35"/>
    <row r="446" ht="14.25" customHeight="1" x14ac:dyDescent="0.35"/>
    <row r="447" ht="14.25" customHeight="1" x14ac:dyDescent="0.35"/>
    <row r="448" ht="14.25" customHeight="1" x14ac:dyDescent="0.35"/>
    <row r="449" ht="14.25" customHeight="1" x14ac:dyDescent="0.35"/>
    <row r="450" ht="14.25" customHeight="1" x14ac:dyDescent="0.35"/>
    <row r="451" ht="14.25" customHeight="1" x14ac:dyDescent="0.35"/>
    <row r="452" ht="14.25" customHeight="1" x14ac:dyDescent="0.35"/>
    <row r="453" ht="14.25" customHeight="1" x14ac:dyDescent="0.35"/>
    <row r="454" ht="14.25" customHeight="1" x14ac:dyDescent="0.35"/>
    <row r="455" ht="14.25" customHeight="1" x14ac:dyDescent="0.35"/>
    <row r="456" ht="14.25" customHeight="1" x14ac:dyDescent="0.35"/>
    <row r="457" ht="14.25" customHeight="1" x14ac:dyDescent="0.35"/>
    <row r="458" ht="14.25" customHeight="1" x14ac:dyDescent="0.35"/>
    <row r="459" ht="14.25" customHeight="1" x14ac:dyDescent="0.35"/>
    <row r="460" ht="14.25" customHeight="1" x14ac:dyDescent="0.35"/>
    <row r="461" ht="14.25" customHeight="1" x14ac:dyDescent="0.35"/>
    <row r="462" ht="14.25" customHeight="1" x14ac:dyDescent="0.35"/>
    <row r="463" ht="14.25" customHeight="1" x14ac:dyDescent="0.35"/>
    <row r="464" ht="14.25" customHeight="1" x14ac:dyDescent="0.35"/>
    <row r="465" ht="14.25" customHeight="1" x14ac:dyDescent="0.35"/>
    <row r="466" ht="14.25" customHeight="1" x14ac:dyDescent="0.35"/>
    <row r="467" ht="14.25" customHeight="1" x14ac:dyDescent="0.35"/>
    <row r="468" ht="14.25" customHeight="1" x14ac:dyDescent="0.35"/>
    <row r="469" ht="14.25" customHeight="1" x14ac:dyDescent="0.35"/>
    <row r="470" ht="14.25" customHeight="1" x14ac:dyDescent="0.35"/>
    <row r="471" ht="14.25" customHeight="1" x14ac:dyDescent="0.35"/>
    <row r="472" ht="14.25" customHeight="1" x14ac:dyDescent="0.35"/>
    <row r="473" ht="14.25" customHeight="1" x14ac:dyDescent="0.35"/>
    <row r="474" ht="14.25" customHeight="1" x14ac:dyDescent="0.35"/>
    <row r="475" ht="14.25" customHeight="1" x14ac:dyDescent="0.35"/>
    <row r="476" ht="14.25" customHeight="1" x14ac:dyDescent="0.35"/>
    <row r="477" ht="14.25" customHeight="1" x14ac:dyDescent="0.35"/>
    <row r="478" ht="14.25" customHeight="1" x14ac:dyDescent="0.35"/>
    <row r="479" ht="14.25" customHeight="1" x14ac:dyDescent="0.35"/>
    <row r="480" ht="14.25" customHeight="1" x14ac:dyDescent="0.35"/>
    <row r="481" ht="14.25" customHeight="1" x14ac:dyDescent="0.35"/>
    <row r="482" ht="14.25" customHeight="1" x14ac:dyDescent="0.35"/>
    <row r="483" ht="14.25" customHeight="1" x14ac:dyDescent="0.35"/>
    <row r="484" ht="14.25" customHeight="1" x14ac:dyDescent="0.35"/>
    <row r="485" ht="14.25" customHeight="1" x14ac:dyDescent="0.35"/>
    <row r="486" ht="14.25" customHeight="1" x14ac:dyDescent="0.35"/>
    <row r="487" ht="14.25" customHeight="1" x14ac:dyDescent="0.35"/>
    <row r="488" ht="14.25" customHeight="1" x14ac:dyDescent="0.35"/>
    <row r="489" ht="14.25" customHeight="1" x14ac:dyDescent="0.35"/>
    <row r="490" ht="14.25" customHeight="1" x14ac:dyDescent="0.35"/>
    <row r="491" ht="14.25" customHeight="1" x14ac:dyDescent="0.35"/>
    <row r="492" ht="14.25" customHeight="1" x14ac:dyDescent="0.35"/>
    <row r="493" ht="14.25" customHeight="1" x14ac:dyDescent="0.35"/>
    <row r="494" ht="14.25" customHeight="1" x14ac:dyDescent="0.35"/>
    <row r="495" ht="14.25" customHeight="1" x14ac:dyDescent="0.35"/>
    <row r="496" ht="14.25" customHeight="1" x14ac:dyDescent="0.35"/>
    <row r="497" ht="14.25" customHeight="1" x14ac:dyDescent="0.35"/>
    <row r="498" ht="14.25" customHeight="1" x14ac:dyDescent="0.35"/>
    <row r="499" ht="14.25" customHeight="1" x14ac:dyDescent="0.35"/>
    <row r="500" ht="14.25" customHeight="1" x14ac:dyDescent="0.35"/>
    <row r="501" ht="14.25" customHeight="1" x14ac:dyDescent="0.35"/>
    <row r="502" ht="14.25" customHeight="1" x14ac:dyDescent="0.35"/>
    <row r="503" ht="14.25" customHeight="1" x14ac:dyDescent="0.35"/>
    <row r="504" ht="14.25" customHeight="1" x14ac:dyDescent="0.35"/>
    <row r="505" ht="14.25" customHeight="1" x14ac:dyDescent="0.35"/>
    <row r="506" ht="14.25" customHeight="1" x14ac:dyDescent="0.35"/>
    <row r="507" ht="14.25" customHeight="1" x14ac:dyDescent="0.35"/>
    <row r="508" ht="14.25" customHeight="1" x14ac:dyDescent="0.35"/>
    <row r="509" ht="14.25" customHeight="1" x14ac:dyDescent="0.35"/>
    <row r="510" ht="14.25" customHeight="1" x14ac:dyDescent="0.35"/>
    <row r="511" ht="14.25" customHeight="1" x14ac:dyDescent="0.35"/>
    <row r="512" ht="14.25" customHeight="1" x14ac:dyDescent="0.35"/>
    <row r="513" ht="14.25" customHeight="1" x14ac:dyDescent="0.35"/>
    <row r="514" ht="14.25" customHeight="1" x14ac:dyDescent="0.35"/>
    <row r="515" ht="14.25" customHeight="1" x14ac:dyDescent="0.35"/>
    <row r="516" ht="14.25" customHeight="1" x14ac:dyDescent="0.35"/>
    <row r="517" ht="14.25" customHeight="1" x14ac:dyDescent="0.35"/>
    <row r="518" ht="14.25" customHeight="1" x14ac:dyDescent="0.35"/>
    <row r="519" ht="14.25" customHeight="1" x14ac:dyDescent="0.35"/>
    <row r="520" ht="14.25" customHeight="1" x14ac:dyDescent="0.35"/>
    <row r="521" ht="14.25" customHeight="1" x14ac:dyDescent="0.35"/>
    <row r="522" ht="14.25" customHeight="1" x14ac:dyDescent="0.35"/>
    <row r="523" ht="14.25" customHeight="1" x14ac:dyDescent="0.35"/>
    <row r="524" ht="14.25" customHeight="1" x14ac:dyDescent="0.35"/>
    <row r="525" ht="14.25" customHeight="1" x14ac:dyDescent="0.35"/>
    <row r="526" ht="14.25" customHeight="1" x14ac:dyDescent="0.35"/>
    <row r="527" ht="14.25" customHeight="1" x14ac:dyDescent="0.35"/>
    <row r="528" ht="14.25" customHeight="1" x14ac:dyDescent="0.35"/>
    <row r="529" ht="14.25" customHeight="1" x14ac:dyDescent="0.35"/>
    <row r="530" ht="14.25" customHeight="1" x14ac:dyDescent="0.35"/>
    <row r="531" ht="14.25" customHeight="1" x14ac:dyDescent="0.35"/>
    <row r="532" ht="14.25" customHeight="1" x14ac:dyDescent="0.35"/>
    <row r="533" ht="14.25" customHeight="1" x14ac:dyDescent="0.35"/>
    <row r="534" ht="14.25" customHeight="1" x14ac:dyDescent="0.35"/>
    <row r="535" ht="14.25" customHeight="1" x14ac:dyDescent="0.35"/>
    <row r="536" ht="14.25" customHeight="1" x14ac:dyDescent="0.35"/>
    <row r="537" ht="14.25" customHeight="1" x14ac:dyDescent="0.35"/>
    <row r="538" ht="14.25" customHeight="1" x14ac:dyDescent="0.35"/>
    <row r="539" ht="14.25" customHeight="1" x14ac:dyDescent="0.35"/>
    <row r="540" ht="14.25" customHeight="1" x14ac:dyDescent="0.35"/>
    <row r="541" ht="14.25" customHeight="1" x14ac:dyDescent="0.35"/>
    <row r="542" ht="14.25" customHeight="1" x14ac:dyDescent="0.35"/>
    <row r="543" ht="14.25" customHeight="1" x14ac:dyDescent="0.35"/>
    <row r="544" ht="14.25" customHeight="1" x14ac:dyDescent="0.35"/>
    <row r="545" ht="14.25" customHeight="1" x14ac:dyDescent="0.35"/>
    <row r="546" ht="14.25" customHeight="1" x14ac:dyDescent="0.35"/>
    <row r="547" ht="14.25" customHeight="1" x14ac:dyDescent="0.35"/>
    <row r="548" ht="14.25" customHeight="1" x14ac:dyDescent="0.35"/>
    <row r="549" ht="14.25" customHeight="1" x14ac:dyDescent="0.35"/>
    <row r="550" ht="14.25" customHeight="1" x14ac:dyDescent="0.35"/>
    <row r="551" ht="14.25" customHeight="1" x14ac:dyDescent="0.35"/>
    <row r="552" ht="14.25" customHeight="1" x14ac:dyDescent="0.35"/>
    <row r="553" ht="14.25" customHeight="1" x14ac:dyDescent="0.35"/>
    <row r="554" ht="14.25" customHeight="1" x14ac:dyDescent="0.35"/>
    <row r="555" ht="14.25" customHeight="1" x14ac:dyDescent="0.35"/>
    <row r="556" ht="14.25" customHeight="1" x14ac:dyDescent="0.35"/>
    <row r="557" ht="14.25" customHeight="1" x14ac:dyDescent="0.35"/>
    <row r="558" ht="14.25" customHeight="1" x14ac:dyDescent="0.35"/>
    <row r="559" ht="14.25" customHeight="1" x14ac:dyDescent="0.35"/>
    <row r="560" ht="14.25" customHeight="1" x14ac:dyDescent="0.35"/>
    <row r="561" ht="14.25" customHeight="1" x14ac:dyDescent="0.35"/>
    <row r="562" ht="14.25" customHeight="1" x14ac:dyDescent="0.35"/>
    <row r="563" ht="14.25" customHeight="1" x14ac:dyDescent="0.35"/>
    <row r="564" ht="14.25" customHeight="1" x14ac:dyDescent="0.35"/>
    <row r="565" ht="14.25" customHeight="1" x14ac:dyDescent="0.35"/>
    <row r="566" ht="14.25" customHeight="1" x14ac:dyDescent="0.35"/>
    <row r="567" ht="14.25" customHeight="1" x14ac:dyDescent="0.35"/>
    <row r="568" ht="14.25" customHeight="1" x14ac:dyDescent="0.35"/>
    <row r="569" ht="14.25" customHeight="1" x14ac:dyDescent="0.35"/>
    <row r="570" ht="14.25" customHeight="1" x14ac:dyDescent="0.35"/>
    <row r="571" ht="14.25" customHeight="1" x14ac:dyDescent="0.35"/>
    <row r="572" ht="14.25" customHeight="1" x14ac:dyDescent="0.35"/>
    <row r="573" ht="14.25" customHeight="1" x14ac:dyDescent="0.35"/>
    <row r="574" ht="14.25" customHeight="1" x14ac:dyDescent="0.35"/>
    <row r="575" ht="14.25" customHeight="1" x14ac:dyDescent="0.35"/>
    <row r="576" ht="14.25" customHeight="1" x14ac:dyDescent="0.35"/>
    <row r="577" ht="14.25" customHeight="1" x14ac:dyDescent="0.35"/>
    <row r="578" ht="14.25" customHeight="1" x14ac:dyDescent="0.35"/>
    <row r="579" ht="14.25" customHeight="1" x14ac:dyDescent="0.35"/>
    <row r="580" ht="14.25" customHeight="1" x14ac:dyDescent="0.35"/>
    <row r="581" ht="14.25" customHeight="1" x14ac:dyDescent="0.35"/>
    <row r="582" ht="14.25" customHeight="1" x14ac:dyDescent="0.35"/>
    <row r="583" ht="14.25" customHeight="1" x14ac:dyDescent="0.35"/>
    <row r="584" ht="14.25" customHeight="1" x14ac:dyDescent="0.35"/>
    <row r="585" ht="14.25" customHeight="1" x14ac:dyDescent="0.35"/>
    <row r="586" ht="14.25" customHeight="1" x14ac:dyDescent="0.35"/>
    <row r="587" ht="14.25" customHeight="1" x14ac:dyDescent="0.35"/>
    <row r="588" ht="14.25" customHeight="1" x14ac:dyDescent="0.35"/>
    <row r="589" ht="14.25" customHeight="1" x14ac:dyDescent="0.35"/>
    <row r="590" ht="14.25" customHeight="1" x14ac:dyDescent="0.35"/>
    <row r="591" ht="14.25" customHeight="1" x14ac:dyDescent="0.35"/>
    <row r="592" ht="14.25" customHeight="1" x14ac:dyDescent="0.35"/>
    <row r="593" ht="14.25" customHeight="1" x14ac:dyDescent="0.35"/>
    <row r="594" ht="14.25" customHeight="1" x14ac:dyDescent="0.35"/>
    <row r="595" ht="14.25" customHeight="1" x14ac:dyDescent="0.35"/>
    <row r="596" ht="14.25" customHeight="1" x14ac:dyDescent="0.35"/>
    <row r="597" ht="14.25" customHeight="1" x14ac:dyDescent="0.35"/>
    <row r="598" ht="14.25" customHeight="1" x14ac:dyDescent="0.35"/>
    <row r="599" ht="14.25" customHeight="1" x14ac:dyDescent="0.35"/>
    <row r="600" ht="14.25" customHeight="1" x14ac:dyDescent="0.35"/>
    <row r="601" ht="14.25" customHeight="1" x14ac:dyDescent="0.35"/>
    <row r="602" ht="14.25" customHeight="1" x14ac:dyDescent="0.35"/>
    <row r="603" ht="14.25" customHeight="1" x14ac:dyDescent="0.35"/>
    <row r="604" ht="14.25" customHeight="1" x14ac:dyDescent="0.35"/>
    <row r="605" ht="14.25" customHeight="1" x14ac:dyDescent="0.35"/>
    <row r="606" ht="14.25" customHeight="1" x14ac:dyDescent="0.35"/>
    <row r="607" ht="14.25" customHeight="1" x14ac:dyDescent="0.35"/>
    <row r="608" ht="14.25" customHeight="1" x14ac:dyDescent="0.35"/>
    <row r="609" ht="14.25" customHeight="1" x14ac:dyDescent="0.35"/>
    <row r="610" ht="14.25" customHeight="1" x14ac:dyDescent="0.35"/>
    <row r="611" ht="14.25" customHeight="1" x14ac:dyDescent="0.35"/>
    <row r="612" ht="14.25" customHeight="1" x14ac:dyDescent="0.35"/>
    <row r="613" ht="14.25" customHeight="1" x14ac:dyDescent="0.35"/>
    <row r="614" ht="14.25" customHeight="1" x14ac:dyDescent="0.35"/>
    <row r="615" ht="14.25" customHeight="1" x14ac:dyDescent="0.35"/>
    <row r="616" ht="14.25" customHeight="1" x14ac:dyDescent="0.35"/>
    <row r="617" ht="14.25" customHeight="1" x14ac:dyDescent="0.35"/>
    <row r="618" ht="14.25" customHeight="1" x14ac:dyDescent="0.35"/>
    <row r="619" ht="14.25" customHeight="1" x14ac:dyDescent="0.35"/>
    <row r="620" ht="14.25" customHeight="1" x14ac:dyDescent="0.35"/>
    <row r="621" ht="14.25" customHeight="1" x14ac:dyDescent="0.35"/>
    <row r="622" ht="14.25" customHeight="1" x14ac:dyDescent="0.35"/>
    <row r="623" ht="14.25" customHeight="1" x14ac:dyDescent="0.35"/>
    <row r="624" ht="14.25" customHeight="1" x14ac:dyDescent="0.35"/>
    <row r="625" ht="14.25" customHeight="1" x14ac:dyDescent="0.35"/>
    <row r="626" ht="14.25" customHeight="1" x14ac:dyDescent="0.35"/>
    <row r="627" ht="14.25" customHeight="1" x14ac:dyDescent="0.35"/>
    <row r="628" ht="14.25" customHeight="1" x14ac:dyDescent="0.35"/>
    <row r="629" ht="14.25" customHeight="1" x14ac:dyDescent="0.35"/>
    <row r="630" ht="14.25" customHeight="1" x14ac:dyDescent="0.35"/>
    <row r="631" ht="14.25" customHeight="1" x14ac:dyDescent="0.35"/>
    <row r="632" ht="14.25" customHeight="1" x14ac:dyDescent="0.35"/>
    <row r="633" ht="14.25" customHeight="1" x14ac:dyDescent="0.35"/>
    <row r="634" ht="14.25" customHeight="1" x14ac:dyDescent="0.35"/>
    <row r="635" ht="14.25" customHeight="1" x14ac:dyDescent="0.35"/>
    <row r="636" ht="14.25" customHeight="1" x14ac:dyDescent="0.35"/>
    <row r="637" ht="14.25" customHeight="1" x14ac:dyDescent="0.35"/>
    <row r="638" ht="14.25" customHeight="1" x14ac:dyDescent="0.35"/>
    <row r="639" ht="14.25" customHeight="1" x14ac:dyDescent="0.35"/>
    <row r="640" ht="14.25" customHeight="1" x14ac:dyDescent="0.35"/>
    <row r="641" ht="14.25" customHeight="1" x14ac:dyDescent="0.35"/>
    <row r="642" ht="14.25" customHeight="1" x14ac:dyDescent="0.35"/>
    <row r="643" ht="14.25" customHeight="1" x14ac:dyDescent="0.35"/>
    <row r="644" ht="14.25" customHeight="1" x14ac:dyDescent="0.35"/>
    <row r="645" ht="14.25" customHeight="1" x14ac:dyDescent="0.35"/>
    <row r="646" ht="14.25" customHeight="1" x14ac:dyDescent="0.35"/>
    <row r="647" ht="14.25" customHeight="1" x14ac:dyDescent="0.35"/>
    <row r="648" ht="14.25" customHeight="1" x14ac:dyDescent="0.35"/>
    <row r="649" ht="14.25" customHeight="1" x14ac:dyDescent="0.35"/>
    <row r="650" ht="14.25" customHeight="1" x14ac:dyDescent="0.35"/>
    <row r="651" ht="14.25" customHeight="1" x14ac:dyDescent="0.35"/>
    <row r="652" ht="14.25" customHeight="1" x14ac:dyDescent="0.35"/>
    <row r="653" ht="14.25" customHeight="1" x14ac:dyDescent="0.35"/>
    <row r="654" ht="14.25" customHeight="1" x14ac:dyDescent="0.35"/>
    <row r="655" ht="14.25" customHeight="1" x14ac:dyDescent="0.35"/>
    <row r="656" ht="14.25" customHeight="1" x14ac:dyDescent="0.35"/>
    <row r="657" ht="14.25" customHeight="1" x14ac:dyDescent="0.35"/>
    <row r="658" ht="14.25" customHeight="1" x14ac:dyDescent="0.35"/>
    <row r="659" ht="14.25" customHeight="1" x14ac:dyDescent="0.35"/>
    <row r="660" ht="14.25" customHeight="1" x14ac:dyDescent="0.35"/>
    <row r="661" ht="14.25" customHeight="1" x14ac:dyDescent="0.35"/>
    <row r="662" ht="14.25" customHeight="1" x14ac:dyDescent="0.35"/>
    <row r="663" ht="14.25" customHeight="1" x14ac:dyDescent="0.35"/>
    <row r="664" ht="14.25" customHeight="1" x14ac:dyDescent="0.35"/>
    <row r="665" ht="14.25" customHeight="1" x14ac:dyDescent="0.35"/>
    <row r="666" ht="14.25" customHeight="1" x14ac:dyDescent="0.35"/>
    <row r="667" ht="14.25" customHeight="1" x14ac:dyDescent="0.35"/>
    <row r="668" ht="14.25" customHeight="1" x14ac:dyDescent="0.35"/>
    <row r="669" ht="14.25" customHeight="1" x14ac:dyDescent="0.35"/>
    <row r="670" ht="14.25" customHeight="1" x14ac:dyDescent="0.35"/>
    <row r="671" ht="14.25" customHeight="1" x14ac:dyDescent="0.35"/>
    <row r="672" ht="14.25" customHeight="1" x14ac:dyDescent="0.35"/>
    <row r="673" ht="14.25" customHeight="1" x14ac:dyDescent="0.35"/>
    <row r="674" ht="14.25" customHeight="1" x14ac:dyDescent="0.35"/>
    <row r="675" ht="14.25" customHeight="1" x14ac:dyDescent="0.35"/>
    <row r="676" ht="14.25" customHeight="1" x14ac:dyDescent="0.35"/>
    <row r="677" ht="14.25" customHeight="1" x14ac:dyDescent="0.35"/>
    <row r="678" ht="14.25" customHeight="1" x14ac:dyDescent="0.35"/>
    <row r="679" ht="14.25" customHeight="1" x14ac:dyDescent="0.35"/>
    <row r="680" ht="14.25" customHeight="1" x14ac:dyDescent="0.35"/>
    <row r="681" ht="14.25" customHeight="1" x14ac:dyDescent="0.35"/>
    <row r="682" ht="14.25" customHeight="1" x14ac:dyDescent="0.35"/>
    <row r="683" ht="14.25" customHeight="1" x14ac:dyDescent="0.35"/>
    <row r="684" ht="14.25" customHeight="1" x14ac:dyDescent="0.35"/>
    <row r="685" ht="14.25" customHeight="1" x14ac:dyDescent="0.35"/>
    <row r="686" ht="14.25" customHeight="1" x14ac:dyDescent="0.35"/>
    <row r="687" ht="14.25" customHeight="1" x14ac:dyDescent="0.35"/>
    <row r="688" ht="14.25" customHeight="1" x14ac:dyDescent="0.35"/>
    <row r="689" ht="14.25" customHeight="1" x14ac:dyDescent="0.35"/>
    <row r="690" ht="14.25" customHeight="1" x14ac:dyDescent="0.35"/>
    <row r="691" ht="14.25" customHeight="1" x14ac:dyDescent="0.35"/>
    <row r="692" ht="14.25" customHeight="1" x14ac:dyDescent="0.35"/>
    <row r="693" ht="14.25" customHeight="1" x14ac:dyDescent="0.35"/>
    <row r="694" ht="14.25" customHeight="1" x14ac:dyDescent="0.35"/>
    <row r="695" ht="14.25" customHeight="1" x14ac:dyDescent="0.35"/>
    <row r="696" ht="14.25" customHeight="1" x14ac:dyDescent="0.35"/>
    <row r="697" ht="14.25" customHeight="1" x14ac:dyDescent="0.35"/>
    <row r="698" ht="14.25" customHeight="1" x14ac:dyDescent="0.35"/>
    <row r="699" ht="14.25" customHeight="1" x14ac:dyDescent="0.35"/>
    <row r="700" ht="14.25" customHeight="1" x14ac:dyDescent="0.35"/>
    <row r="701" ht="14.25" customHeight="1" x14ac:dyDescent="0.35"/>
    <row r="702" ht="14.25" customHeight="1" x14ac:dyDescent="0.35"/>
    <row r="703" ht="14.25" customHeight="1" x14ac:dyDescent="0.35"/>
    <row r="704" ht="14.25" customHeight="1" x14ac:dyDescent="0.35"/>
    <row r="705" ht="14.25" customHeight="1" x14ac:dyDescent="0.35"/>
    <row r="706" ht="14.25" customHeight="1" x14ac:dyDescent="0.35"/>
    <row r="707" ht="14.25" customHeight="1" x14ac:dyDescent="0.35"/>
    <row r="708" ht="14.25" customHeight="1" x14ac:dyDescent="0.35"/>
    <row r="709" ht="14.25" customHeight="1" x14ac:dyDescent="0.35"/>
    <row r="710" ht="14.25" customHeight="1" x14ac:dyDescent="0.35"/>
    <row r="711" ht="14.25" customHeight="1" x14ac:dyDescent="0.35"/>
    <row r="712" ht="14.25" customHeight="1" x14ac:dyDescent="0.35"/>
    <row r="713" ht="14.25" customHeight="1" x14ac:dyDescent="0.35"/>
    <row r="714" ht="14.25" customHeight="1" x14ac:dyDescent="0.35"/>
    <row r="715" ht="14.25" customHeight="1" x14ac:dyDescent="0.35"/>
    <row r="716" ht="14.25" customHeight="1" x14ac:dyDescent="0.35"/>
    <row r="717" ht="14.25" customHeight="1" x14ac:dyDescent="0.35"/>
    <row r="718" ht="14.25" customHeight="1" x14ac:dyDescent="0.35"/>
    <row r="719" ht="14.25" customHeight="1" x14ac:dyDescent="0.35"/>
    <row r="720" ht="14.25" customHeight="1" x14ac:dyDescent="0.35"/>
    <row r="721" ht="14.25" customHeight="1" x14ac:dyDescent="0.35"/>
    <row r="722" ht="14.25" customHeight="1" x14ac:dyDescent="0.35"/>
    <row r="723" ht="14.25" customHeight="1" x14ac:dyDescent="0.35"/>
    <row r="724" ht="14.25" customHeight="1" x14ac:dyDescent="0.35"/>
    <row r="725" ht="14.25" customHeight="1" x14ac:dyDescent="0.35"/>
    <row r="726" ht="14.25" customHeight="1" x14ac:dyDescent="0.35"/>
    <row r="727" ht="14.25" customHeight="1" x14ac:dyDescent="0.35"/>
    <row r="728" ht="14.25" customHeight="1" x14ac:dyDescent="0.35"/>
    <row r="729" ht="14.25" customHeight="1" x14ac:dyDescent="0.35"/>
    <row r="730" ht="14.25" customHeight="1" x14ac:dyDescent="0.35"/>
    <row r="731" ht="14.25" customHeight="1" x14ac:dyDescent="0.35"/>
    <row r="732" ht="14.25" customHeight="1" x14ac:dyDescent="0.35"/>
    <row r="733" ht="14.25" customHeight="1" x14ac:dyDescent="0.35"/>
    <row r="734" ht="14.25" customHeight="1" x14ac:dyDescent="0.35"/>
    <row r="735" ht="14.25" customHeight="1" x14ac:dyDescent="0.35"/>
    <row r="736" ht="14.25" customHeight="1" x14ac:dyDescent="0.35"/>
    <row r="737" ht="14.25" customHeight="1" x14ac:dyDescent="0.35"/>
    <row r="738" ht="14.25" customHeight="1" x14ac:dyDescent="0.35"/>
    <row r="739" ht="14.25" customHeight="1" x14ac:dyDescent="0.35"/>
    <row r="740" ht="14.25" customHeight="1" x14ac:dyDescent="0.35"/>
    <row r="741" ht="14.25" customHeight="1" x14ac:dyDescent="0.35"/>
    <row r="742" ht="14.25" customHeight="1" x14ac:dyDescent="0.35"/>
    <row r="743" ht="14.25" customHeight="1" x14ac:dyDescent="0.35"/>
    <row r="744" ht="14.25" customHeight="1" x14ac:dyDescent="0.35"/>
    <row r="745" ht="14.25" customHeight="1" x14ac:dyDescent="0.35"/>
    <row r="746" ht="14.25" customHeight="1" x14ac:dyDescent="0.35"/>
    <row r="747" ht="14.25" customHeight="1" x14ac:dyDescent="0.35"/>
    <row r="748" ht="14.25" customHeight="1" x14ac:dyDescent="0.35"/>
    <row r="749" ht="14.25" customHeight="1" x14ac:dyDescent="0.35"/>
    <row r="750" ht="14.25" customHeight="1" x14ac:dyDescent="0.35"/>
    <row r="751" ht="14.25" customHeight="1" x14ac:dyDescent="0.35"/>
    <row r="752" ht="14.25" customHeight="1" x14ac:dyDescent="0.35"/>
    <row r="753" ht="14.25" customHeight="1" x14ac:dyDescent="0.35"/>
    <row r="754" ht="14.25" customHeight="1" x14ac:dyDescent="0.35"/>
    <row r="755" ht="14.25" customHeight="1" x14ac:dyDescent="0.35"/>
    <row r="756" ht="14.25" customHeight="1" x14ac:dyDescent="0.35"/>
    <row r="757" ht="14.25" customHeight="1" x14ac:dyDescent="0.35"/>
    <row r="758" ht="14.25" customHeight="1" x14ac:dyDescent="0.35"/>
    <row r="759" ht="14.25" customHeight="1" x14ac:dyDescent="0.35"/>
    <row r="760" ht="14.25" customHeight="1" x14ac:dyDescent="0.35"/>
    <row r="761" ht="14.25" customHeight="1" x14ac:dyDescent="0.35"/>
    <row r="762" ht="14.25" customHeight="1" x14ac:dyDescent="0.35"/>
    <row r="763" ht="14.25" customHeight="1" x14ac:dyDescent="0.35"/>
    <row r="764" ht="14.25" customHeight="1" x14ac:dyDescent="0.35"/>
    <row r="765" ht="14.25" customHeight="1" x14ac:dyDescent="0.35"/>
    <row r="766" ht="14.25" customHeight="1" x14ac:dyDescent="0.35"/>
    <row r="767" ht="14.25" customHeight="1" x14ac:dyDescent="0.35"/>
    <row r="768" ht="14.25" customHeight="1" x14ac:dyDescent="0.35"/>
    <row r="769" ht="14.25" customHeight="1" x14ac:dyDescent="0.35"/>
    <row r="770" ht="14.25" customHeight="1" x14ac:dyDescent="0.35"/>
    <row r="771" ht="14.25" customHeight="1" x14ac:dyDescent="0.35"/>
    <row r="772" ht="14.25" customHeight="1" x14ac:dyDescent="0.35"/>
    <row r="773" ht="14.25" customHeight="1" x14ac:dyDescent="0.35"/>
    <row r="774" ht="14.25" customHeight="1" x14ac:dyDescent="0.35"/>
    <row r="775" ht="14.25" customHeight="1" x14ac:dyDescent="0.35"/>
    <row r="776" ht="14.25" customHeight="1" x14ac:dyDescent="0.35"/>
    <row r="777" ht="14.25" customHeight="1" x14ac:dyDescent="0.35"/>
    <row r="778" ht="14.25" customHeight="1" x14ac:dyDescent="0.35"/>
    <row r="779" ht="14.25" customHeight="1" x14ac:dyDescent="0.35"/>
    <row r="780" ht="14.25" customHeight="1" x14ac:dyDescent="0.35"/>
    <row r="781" ht="14.25" customHeight="1" x14ac:dyDescent="0.35"/>
    <row r="782" ht="14.25" customHeight="1" x14ac:dyDescent="0.35"/>
    <row r="783" ht="14.25" customHeight="1" x14ac:dyDescent="0.35"/>
    <row r="784" ht="14.25" customHeight="1" x14ac:dyDescent="0.35"/>
    <row r="785" ht="14.25" customHeight="1" x14ac:dyDescent="0.35"/>
    <row r="786" ht="14.25" customHeight="1" x14ac:dyDescent="0.35"/>
    <row r="787" ht="14.25" customHeight="1" x14ac:dyDescent="0.35"/>
    <row r="788" ht="14.25" customHeight="1" x14ac:dyDescent="0.35"/>
    <row r="789" ht="14.25" customHeight="1" x14ac:dyDescent="0.35"/>
    <row r="790" ht="14.25" customHeight="1" x14ac:dyDescent="0.35"/>
    <row r="791" ht="14.25" customHeight="1" x14ac:dyDescent="0.35"/>
    <row r="792" ht="14.25" customHeight="1" x14ac:dyDescent="0.35"/>
    <row r="793" ht="14.25" customHeight="1" x14ac:dyDescent="0.35"/>
    <row r="794" ht="14.25" customHeight="1" x14ac:dyDescent="0.35"/>
    <row r="795" ht="14.25" customHeight="1" x14ac:dyDescent="0.35"/>
    <row r="796" ht="14.25" customHeight="1" x14ac:dyDescent="0.35"/>
    <row r="797" ht="14.25" customHeight="1" x14ac:dyDescent="0.35"/>
    <row r="798" ht="14.25" customHeight="1" x14ac:dyDescent="0.35"/>
    <row r="799" ht="14.25" customHeight="1" x14ac:dyDescent="0.35"/>
    <row r="800" ht="14.25" customHeight="1" x14ac:dyDescent="0.35"/>
    <row r="801" ht="14.25" customHeight="1" x14ac:dyDescent="0.35"/>
    <row r="802" ht="14.25" customHeight="1" x14ac:dyDescent="0.35"/>
    <row r="803" ht="14.25" customHeight="1" x14ac:dyDescent="0.35"/>
    <row r="804" ht="14.25" customHeight="1" x14ac:dyDescent="0.35"/>
    <row r="805" ht="14.25" customHeight="1" x14ac:dyDescent="0.35"/>
    <row r="806" ht="14.25" customHeight="1" x14ac:dyDescent="0.35"/>
    <row r="807" ht="14.25" customHeight="1" x14ac:dyDescent="0.35"/>
    <row r="808" ht="14.25" customHeight="1" x14ac:dyDescent="0.35"/>
    <row r="809" ht="14.25" customHeight="1" x14ac:dyDescent="0.35"/>
    <row r="810" ht="14.25" customHeight="1" x14ac:dyDescent="0.35"/>
    <row r="811" ht="14.25" customHeight="1" x14ac:dyDescent="0.35"/>
    <row r="812" ht="14.25" customHeight="1" x14ac:dyDescent="0.35"/>
    <row r="813" ht="14.25" customHeight="1" x14ac:dyDescent="0.35"/>
    <row r="814" ht="14.25" customHeight="1" x14ac:dyDescent="0.35"/>
    <row r="815" ht="14.25" customHeight="1" x14ac:dyDescent="0.35"/>
    <row r="816" ht="14.25" customHeight="1" x14ac:dyDescent="0.35"/>
    <row r="817" ht="14.25" customHeight="1" x14ac:dyDescent="0.35"/>
    <row r="818" ht="14.25" customHeight="1" x14ac:dyDescent="0.35"/>
    <row r="819" ht="14.25" customHeight="1" x14ac:dyDescent="0.35"/>
    <row r="820" ht="14.25" customHeight="1" x14ac:dyDescent="0.35"/>
    <row r="821" ht="14.25" customHeight="1" x14ac:dyDescent="0.35"/>
    <row r="822" ht="14.25" customHeight="1" x14ac:dyDescent="0.35"/>
    <row r="823" ht="14.25" customHeight="1" x14ac:dyDescent="0.35"/>
    <row r="824" ht="14.25" customHeight="1" x14ac:dyDescent="0.35"/>
    <row r="825" ht="14.25" customHeight="1" x14ac:dyDescent="0.35"/>
    <row r="826" ht="14.25" customHeight="1" x14ac:dyDescent="0.35"/>
    <row r="827" ht="14.25" customHeight="1" x14ac:dyDescent="0.35"/>
    <row r="828" ht="14.25" customHeight="1" x14ac:dyDescent="0.35"/>
    <row r="829" ht="14.25" customHeight="1" x14ac:dyDescent="0.35"/>
    <row r="830" ht="14.25" customHeight="1" x14ac:dyDescent="0.35"/>
    <row r="831" ht="14.25" customHeight="1" x14ac:dyDescent="0.35"/>
    <row r="832" ht="14.25" customHeight="1" x14ac:dyDescent="0.35"/>
    <row r="833" ht="14.25" customHeight="1" x14ac:dyDescent="0.35"/>
    <row r="834" ht="14.25" customHeight="1" x14ac:dyDescent="0.35"/>
    <row r="835" ht="14.25" customHeight="1" x14ac:dyDescent="0.35"/>
    <row r="836" ht="14.25" customHeight="1" x14ac:dyDescent="0.35"/>
    <row r="837" ht="14.25" customHeight="1" x14ac:dyDescent="0.35"/>
    <row r="838" ht="14.25" customHeight="1" x14ac:dyDescent="0.35"/>
    <row r="839" ht="14.25" customHeight="1" x14ac:dyDescent="0.35"/>
    <row r="840" ht="14.25" customHeight="1" x14ac:dyDescent="0.35"/>
    <row r="841" ht="14.25" customHeight="1" x14ac:dyDescent="0.35"/>
    <row r="842" ht="14.25" customHeight="1" x14ac:dyDescent="0.35"/>
    <row r="843" ht="14.25" customHeight="1" x14ac:dyDescent="0.35"/>
    <row r="844" ht="14.25" customHeight="1" x14ac:dyDescent="0.35"/>
    <row r="845" ht="14.25" customHeight="1" x14ac:dyDescent="0.35"/>
    <row r="846" ht="14.25" customHeight="1" x14ac:dyDescent="0.35"/>
    <row r="847" ht="14.25" customHeight="1" x14ac:dyDescent="0.35"/>
    <row r="848" ht="14.25" customHeight="1" x14ac:dyDescent="0.35"/>
    <row r="849" ht="14.25" customHeight="1" x14ac:dyDescent="0.35"/>
    <row r="850" ht="14.25" customHeight="1" x14ac:dyDescent="0.35"/>
    <row r="851" ht="14.25" customHeight="1" x14ac:dyDescent="0.35"/>
    <row r="852" ht="14.25" customHeight="1" x14ac:dyDescent="0.35"/>
    <row r="853" ht="14.25" customHeight="1" x14ac:dyDescent="0.35"/>
    <row r="854" ht="14.25" customHeight="1" x14ac:dyDescent="0.35"/>
    <row r="855" ht="14.25" customHeight="1" x14ac:dyDescent="0.35"/>
    <row r="856" ht="14.25" customHeight="1" x14ac:dyDescent="0.35"/>
    <row r="857" ht="14.25" customHeight="1" x14ac:dyDescent="0.35"/>
    <row r="858" ht="14.25" customHeight="1" x14ac:dyDescent="0.35"/>
    <row r="859" ht="14.25" customHeight="1" x14ac:dyDescent="0.35"/>
    <row r="860" ht="14.25" customHeight="1" x14ac:dyDescent="0.35"/>
    <row r="861" ht="14.25" customHeight="1" x14ac:dyDescent="0.35"/>
    <row r="862" ht="14.25" customHeight="1" x14ac:dyDescent="0.35"/>
    <row r="863" ht="14.25" customHeight="1" x14ac:dyDescent="0.35"/>
    <row r="864" ht="14.25" customHeight="1" x14ac:dyDescent="0.35"/>
    <row r="865" ht="14.25" customHeight="1" x14ac:dyDescent="0.35"/>
    <row r="866" ht="14.25" customHeight="1" x14ac:dyDescent="0.35"/>
    <row r="867" ht="14.25" customHeight="1" x14ac:dyDescent="0.35"/>
    <row r="868" ht="14.25" customHeight="1" x14ac:dyDescent="0.35"/>
    <row r="869" ht="14.25" customHeight="1" x14ac:dyDescent="0.35"/>
    <row r="870" ht="14.25" customHeight="1" x14ac:dyDescent="0.35"/>
    <row r="871" ht="14.25" customHeight="1" x14ac:dyDescent="0.35"/>
    <row r="872" ht="14.25" customHeight="1" x14ac:dyDescent="0.35"/>
    <row r="873" ht="14.25" customHeight="1" x14ac:dyDescent="0.35"/>
    <row r="874" ht="14.25" customHeight="1" x14ac:dyDescent="0.35"/>
    <row r="875" ht="14.25" customHeight="1" x14ac:dyDescent="0.35"/>
    <row r="876" ht="14.25" customHeight="1" x14ac:dyDescent="0.35"/>
    <row r="877" ht="14.25" customHeight="1" x14ac:dyDescent="0.35"/>
    <row r="878" ht="14.25" customHeight="1" x14ac:dyDescent="0.35"/>
    <row r="879" ht="14.25" customHeight="1" x14ac:dyDescent="0.35"/>
    <row r="880" ht="14.25" customHeight="1" x14ac:dyDescent="0.35"/>
    <row r="881" ht="14.25" customHeight="1" x14ac:dyDescent="0.35"/>
    <row r="882" ht="14.25" customHeight="1" x14ac:dyDescent="0.35"/>
    <row r="883" ht="14.25" customHeight="1" x14ac:dyDescent="0.35"/>
    <row r="884" ht="14.25" customHeight="1" x14ac:dyDescent="0.35"/>
    <row r="885" ht="14.25" customHeight="1" x14ac:dyDescent="0.35"/>
    <row r="886" ht="14.25" customHeight="1" x14ac:dyDescent="0.35"/>
    <row r="887" ht="14.25" customHeight="1" x14ac:dyDescent="0.35"/>
    <row r="888" ht="14.25" customHeight="1" x14ac:dyDescent="0.35"/>
    <row r="889" ht="14.25" customHeight="1" x14ac:dyDescent="0.35"/>
    <row r="890" ht="14.25" customHeight="1" x14ac:dyDescent="0.35"/>
    <row r="891" ht="14.25" customHeight="1" x14ac:dyDescent="0.35"/>
    <row r="892" ht="14.25" customHeight="1" x14ac:dyDescent="0.35"/>
    <row r="893" ht="14.25" customHeight="1" x14ac:dyDescent="0.35"/>
    <row r="894" ht="14.25" customHeight="1" x14ac:dyDescent="0.35"/>
    <row r="895" ht="14.25" customHeight="1" x14ac:dyDescent="0.35"/>
    <row r="896" ht="14.25" customHeight="1" x14ac:dyDescent="0.35"/>
    <row r="897" ht="14.25" customHeight="1" x14ac:dyDescent="0.35"/>
    <row r="898" ht="14.25" customHeight="1" x14ac:dyDescent="0.35"/>
    <row r="899" ht="14.25" customHeight="1" x14ac:dyDescent="0.35"/>
    <row r="900" ht="14.25" customHeight="1" x14ac:dyDescent="0.35"/>
    <row r="901" ht="14.25" customHeight="1" x14ac:dyDescent="0.35"/>
    <row r="902" ht="14.25" customHeight="1" x14ac:dyDescent="0.35"/>
    <row r="903" ht="14.25" customHeight="1" x14ac:dyDescent="0.35"/>
    <row r="904" ht="14.25" customHeight="1" x14ac:dyDescent="0.35"/>
    <row r="905" ht="14.25" customHeight="1" x14ac:dyDescent="0.35"/>
    <row r="906" ht="14.25" customHeight="1" x14ac:dyDescent="0.35"/>
    <row r="907" ht="14.25" customHeight="1" x14ac:dyDescent="0.35"/>
    <row r="908" ht="14.25" customHeight="1" x14ac:dyDescent="0.35"/>
    <row r="909" ht="14.25" customHeight="1" x14ac:dyDescent="0.35"/>
    <row r="910" ht="14.25" customHeight="1" x14ac:dyDescent="0.35"/>
    <row r="911" ht="14.25" customHeight="1" x14ac:dyDescent="0.35"/>
    <row r="912" ht="14.25" customHeight="1" x14ac:dyDescent="0.35"/>
    <row r="913" ht="14.25" customHeight="1" x14ac:dyDescent="0.35"/>
    <row r="914" ht="14.25" customHeight="1" x14ac:dyDescent="0.35"/>
    <row r="915" ht="14.25" customHeight="1" x14ac:dyDescent="0.35"/>
    <row r="916" ht="14.25" customHeight="1" x14ac:dyDescent="0.35"/>
    <row r="917" ht="14.25" customHeight="1" x14ac:dyDescent="0.35"/>
    <row r="918" ht="14.25" customHeight="1" x14ac:dyDescent="0.35"/>
    <row r="919" ht="14.25" customHeight="1" x14ac:dyDescent="0.35"/>
    <row r="920" ht="14.25" customHeight="1" x14ac:dyDescent="0.35"/>
    <row r="921" ht="14.25" customHeight="1" x14ac:dyDescent="0.35"/>
    <row r="922" ht="14.25" customHeight="1" x14ac:dyDescent="0.35"/>
    <row r="923" ht="14.25" customHeight="1" x14ac:dyDescent="0.35"/>
    <row r="924" ht="14.25" customHeight="1" x14ac:dyDescent="0.35"/>
    <row r="925" ht="14.25" customHeight="1" x14ac:dyDescent="0.35"/>
    <row r="926" ht="14.25" customHeight="1" x14ac:dyDescent="0.35"/>
    <row r="927" ht="14.25" customHeight="1" x14ac:dyDescent="0.35"/>
    <row r="928" ht="14.25" customHeight="1" x14ac:dyDescent="0.35"/>
    <row r="929" ht="14.25" customHeight="1" x14ac:dyDescent="0.35"/>
    <row r="930" ht="14.25" customHeight="1" x14ac:dyDescent="0.35"/>
    <row r="931" ht="14.25" customHeight="1" x14ac:dyDescent="0.35"/>
    <row r="932" ht="14.25" customHeight="1" x14ac:dyDescent="0.35"/>
    <row r="933" ht="14.25" customHeight="1" x14ac:dyDescent="0.35"/>
    <row r="934" ht="14.25" customHeight="1" x14ac:dyDescent="0.35"/>
    <row r="935" ht="14.25" customHeight="1" x14ac:dyDescent="0.35"/>
    <row r="936" ht="14.25" customHeight="1" x14ac:dyDescent="0.35"/>
    <row r="937" ht="14.25" customHeight="1" x14ac:dyDescent="0.35"/>
    <row r="938" ht="14.25" customHeight="1" x14ac:dyDescent="0.35"/>
    <row r="939" ht="14.25" customHeight="1" x14ac:dyDescent="0.35"/>
    <row r="940" ht="14.25" customHeight="1" x14ac:dyDescent="0.35"/>
    <row r="941" ht="14.25" customHeight="1" x14ac:dyDescent="0.35"/>
    <row r="942" ht="14.25" customHeight="1" x14ac:dyDescent="0.35"/>
    <row r="943" ht="14.25" customHeight="1" x14ac:dyDescent="0.35"/>
    <row r="944" ht="14.25" customHeight="1" x14ac:dyDescent="0.35"/>
    <row r="945" ht="14.25" customHeight="1" x14ac:dyDescent="0.35"/>
    <row r="946" ht="14.25" customHeight="1" x14ac:dyDescent="0.35"/>
    <row r="947" ht="14.25" customHeight="1" x14ac:dyDescent="0.35"/>
    <row r="948" ht="14.25" customHeight="1" x14ac:dyDescent="0.35"/>
    <row r="949" ht="14.25" customHeight="1" x14ac:dyDescent="0.35"/>
    <row r="950" ht="14.25" customHeight="1" x14ac:dyDescent="0.35"/>
    <row r="951" ht="14.25" customHeight="1" x14ac:dyDescent="0.35"/>
    <row r="952" ht="14.25" customHeight="1" x14ac:dyDescent="0.35"/>
    <row r="953" ht="14.25" customHeight="1" x14ac:dyDescent="0.35"/>
    <row r="954" ht="14.25" customHeight="1" x14ac:dyDescent="0.35"/>
    <row r="955" ht="14.25" customHeight="1" x14ac:dyDescent="0.35"/>
    <row r="956" ht="14.25" customHeight="1" x14ac:dyDescent="0.35"/>
    <row r="957" ht="14.25" customHeight="1" x14ac:dyDescent="0.35"/>
    <row r="958" ht="14.25" customHeight="1" x14ac:dyDescent="0.35"/>
    <row r="959" ht="14.25" customHeight="1" x14ac:dyDescent="0.35"/>
    <row r="960" ht="14.25" customHeight="1" x14ac:dyDescent="0.35"/>
    <row r="961" ht="14.25" customHeight="1" x14ac:dyDescent="0.35"/>
    <row r="962" ht="14.25" customHeight="1" x14ac:dyDescent="0.35"/>
    <row r="963" ht="14.25" customHeight="1" x14ac:dyDescent="0.35"/>
    <row r="964" ht="14.25" customHeight="1" x14ac:dyDescent="0.35"/>
    <row r="965" ht="14.25" customHeight="1" x14ac:dyDescent="0.35"/>
    <row r="966" ht="14.25" customHeight="1" x14ac:dyDescent="0.35"/>
    <row r="967" ht="14.25" customHeight="1" x14ac:dyDescent="0.35"/>
    <row r="968" ht="14.25" customHeight="1" x14ac:dyDescent="0.35"/>
    <row r="969" ht="14.25" customHeight="1" x14ac:dyDescent="0.35"/>
    <row r="970" ht="14.25" customHeight="1" x14ac:dyDescent="0.35"/>
    <row r="971" ht="14.25" customHeight="1" x14ac:dyDescent="0.35"/>
    <row r="972" ht="14.25" customHeight="1" x14ac:dyDescent="0.35"/>
    <row r="973" ht="14.25" customHeight="1" x14ac:dyDescent="0.35"/>
    <row r="974" ht="14.25" customHeight="1" x14ac:dyDescent="0.35"/>
    <row r="975" ht="14.25" customHeight="1" x14ac:dyDescent="0.35"/>
    <row r="976" ht="14.25" customHeight="1" x14ac:dyDescent="0.35"/>
    <row r="977" ht="14.25" customHeight="1" x14ac:dyDescent="0.35"/>
    <row r="978" ht="14.25" customHeight="1" x14ac:dyDescent="0.35"/>
    <row r="979" ht="14.25" customHeight="1" x14ac:dyDescent="0.35"/>
    <row r="980" ht="14.25" customHeight="1" x14ac:dyDescent="0.35"/>
    <row r="981" ht="14.25" customHeight="1" x14ac:dyDescent="0.35"/>
    <row r="982" ht="14.25" customHeight="1" x14ac:dyDescent="0.35"/>
    <row r="983" ht="14.25" customHeight="1" x14ac:dyDescent="0.35"/>
    <row r="984" ht="14.25" customHeight="1" x14ac:dyDescent="0.35"/>
    <row r="985" ht="14.25" customHeight="1" x14ac:dyDescent="0.35"/>
    <row r="986" ht="14.25" customHeight="1" x14ac:dyDescent="0.35"/>
    <row r="987" ht="14.25" customHeight="1" x14ac:dyDescent="0.35"/>
    <row r="988" ht="14.25" customHeight="1" x14ac:dyDescent="0.35"/>
    <row r="989" ht="14.25" customHeight="1" x14ac:dyDescent="0.35"/>
    <row r="990" ht="14.25" customHeight="1" x14ac:dyDescent="0.35"/>
    <row r="991" ht="14.25" customHeight="1" x14ac:dyDescent="0.35"/>
    <row r="992" ht="14.25" customHeight="1" x14ac:dyDescent="0.35"/>
    <row r="993" ht="14.25" customHeight="1" x14ac:dyDescent="0.35"/>
    <row r="994" ht="14.25" customHeight="1" x14ac:dyDescent="0.35"/>
    <row r="995" ht="14.25" customHeight="1" x14ac:dyDescent="0.35"/>
    <row r="996" ht="14.25" customHeight="1" x14ac:dyDescent="0.35"/>
    <row r="997" ht="14.25" customHeight="1" x14ac:dyDescent="0.35"/>
    <row r="998" ht="14.25" customHeight="1" x14ac:dyDescent="0.35"/>
  </sheetData>
  <mergeCells count="23">
    <mergeCell ref="A1:U3"/>
    <mergeCell ref="L8:P8"/>
    <mergeCell ref="A4:U4"/>
    <mergeCell ref="B82:U82"/>
    <mergeCell ref="Q9:U9"/>
    <mergeCell ref="B9:F9"/>
    <mergeCell ref="B84:U84"/>
    <mergeCell ref="L9:P9"/>
    <mergeCell ref="B83:U83"/>
    <mergeCell ref="B6:U6"/>
    <mergeCell ref="B85:U85"/>
    <mergeCell ref="G9:K9"/>
    <mergeCell ref="Q7:U7"/>
    <mergeCell ref="B11:J11"/>
    <mergeCell ref="B7:F7"/>
    <mergeCell ref="L7:P7"/>
    <mergeCell ref="B81:U81"/>
    <mergeCell ref="G8:K8"/>
    <mergeCell ref="L11:U11"/>
    <mergeCell ref="Q8:U8"/>
    <mergeCell ref="G7:K7"/>
    <mergeCell ref="B86:U86"/>
    <mergeCell ref="B8:F8"/>
  </mergeCells>
  <pageMargins left="0.7" right="0.7" top="0.75" bottom="0.75" header="0.511811023622047" footer="0.511811023622047"/>
  <pageSetup orientation="landscape" horizontalDpi="300" verticalDpi="300"/>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00"/>
  <sheetViews>
    <sheetView showGridLines="0" zoomScaleNormal="100" workbookViewId="0">
      <selection activeCell="F31" sqref="F31"/>
    </sheetView>
  </sheetViews>
  <sheetFormatPr defaultColWidth="14.453125" defaultRowHeight="14.5" x14ac:dyDescent="0.35"/>
  <cols>
    <col min="1" max="2" width="12" customWidth="1"/>
    <col min="3" max="3" width="10" customWidth="1"/>
    <col min="4" max="4" width="8" customWidth="1"/>
    <col min="5" max="5" width="12" customWidth="1"/>
    <col min="6" max="7" width="14" customWidth="1"/>
    <col min="8" max="8" width="16.90625" customWidth="1"/>
    <col min="9" max="26" width="14" customWidth="1"/>
  </cols>
  <sheetData>
    <row r="1" spans="1:10" ht="19.5" customHeight="1" x14ac:dyDescent="0.35">
      <c r="A1" s="13" t="s">
        <v>0</v>
      </c>
      <c r="B1" s="13" t="s">
        <v>1</v>
      </c>
      <c r="C1" s="13" t="s">
        <v>2</v>
      </c>
      <c r="D1" s="13" t="s">
        <v>3</v>
      </c>
      <c r="E1" s="13" t="s">
        <v>4</v>
      </c>
      <c r="F1" s="13" t="s">
        <v>5</v>
      </c>
      <c r="G1" s="13" t="s">
        <v>6</v>
      </c>
      <c r="H1" s="13" t="s">
        <v>7</v>
      </c>
      <c r="I1" s="13" t="s">
        <v>8</v>
      </c>
      <c r="J1" s="13" t="s">
        <v>9</v>
      </c>
    </row>
    <row r="2" spans="1:10" ht="14.25" customHeight="1" x14ac:dyDescent="0.35">
      <c r="A2" s="14">
        <v>45839</v>
      </c>
      <c r="B2" s="15" t="s">
        <v>10</v>
      </c>
      <c r="C2" s="15" t="s">
        <v>11</v>
      </c>
      <c r="D2" s="15">
        <v>12</v>
      </c>
      <c r="E2" s="16">
        <f>D2*VLOOKUP(B2,'product table'!$A:$D,4,0)</f>
        <v>1440</v>
      </c>
      <c r="F2" s="15" t="str">
        <f>VLOOKUP(B2,'product table'!$A:$B,2,0)</f>
        <v>Notebook</v>
      </c>
      <c r="G2" s="15" t="str">
        <f>VLOOKUP(B2,'product table'!$A:$C,3,0)</f>
        <v>Stationery</v>
      </c>
      <c r="H2" s="15" t="str">
        <f>VLOOKUP(C2,'stores table'!$A:$B,2,0)</f>
        <v>Mumbai Central</v>
      </c>
      <c r="I2" s="15" t="str">
        <f>VLOOKUP(C2,'stores table'!$A:$D,3,0)</f>
        <v>Mumbai</v>
      </c>
      <c r="J2" s="15" t="str">
        <f>VLOOKUP(C2,'stores table'!$A:$D,4,0)</f>
        <v>West</v>
      </c>
    </row>
    <row r="3" spans="1:10" ht="14.25" customHeight="1" x14ac:dyDescent="0.35">
      <c r="A3" s="17">
        <v>45839</v>
      </c>
      <c r="B3" s="18" t="s">
        <v>12</v>
      </c>
      <c r="C3" s="18" t="s">
        <v>13</v>
      </c>
      <c r="D3" s="18">
        <v>35</v>
      </c>
      <c r="E3" s="19">
        <f>D3*VLOOKUP(B3,'product table'!$A:$D,4,0)</f>
        <v>525</v>
      </c>
      <c r="F3" s="18" t="str">
        <f>VLOOKUP(B3,'product table'!$A:$B,2,0)</f>
        <v>Pen</v>
      </c>
      <c r="G3" s="18" t="str">
        <f>VLOOKUP(B3,'product table'!$A:$C,3,0)</f>
        <v>Stationery</v>
      </c>
      <c r="H3" s="18" t="str">
        <f>VLOOKUP(C3,'stores table'!$A:$B,2,0)</f>
        <v>Bengaluru MG Rd</v>
      </c>
      <c r="I3" s="18" t="str">
        <f>VLOOKUP(C3,'stores table'!$A:$D,3,0)</f>
        <v>Bengaluru</v>
      </c>
      <c r="J3" s="18" t="str">
        <f>VLOOKUP(C3,'stores table'!$A:$D,4,0)</f>
        <v>South</v>
      </c>
    </row>
    <row r="4" spans="1:10" ht="14.25" customHeight="1" x14ac:dyDescent="0.35">
      <c r="A4" s="14">
        <v>45840</v>
      </c>
      <c r="B4" s="15" t="s">
        <v>14</v>
      </c>
      <c r="C4" s="15" t="s">
        <v>15</v>
      </c>
      <c r="D4" s="15">
        <v>8</v>
      </c>
      <c r="E4" s="16">
        <f>D4*VLOOKUP(B4,'product table'!$A:$D,4,0)</f>
        <v>1760</v>
      </c>
      <c r="F4" s="15" t="str">
        <f>VLOOKUP(B4,'product table'!$A:$B,2,0)</f>
        <v>Stapler</v>
      </c>
      <c r="G4" s="15" t="str">
        <f>VLOOKUP(B4,'product table'!$A:$C,3,0)</f>
        <v>Office Supplies</v>
      </c>
      <c r="H4" s="15" t="str">
        <f>VLOOKUP(C4,'stores table'!$A:$B,2,0)</f>
        <v>Delhi Connaught</v>
      </c>
      <c r="I4" s="15" t="str">
        <f>VLOOKUP(C4,'stores table'!$A:$D,3,0)</f>
        <v>Delhi</v>
      </c>
      <c r="J4" s="15" t="str">
        <f>VLOOKUP(C4,'stores table'!$A:$D,4,0)</f>
        <v>North</v>
      </c>
    </row>
    <row r="5" spans="1:10" ht="14.25" customHeight="1" x14ac:dyDescent="0.35">
      <c r="A5" s="17">
        <v>45840</v>
      </c>
      <c r="B5" s="18" t="s">
        <v>16</v>
      </c>
      <c r="C5" s="18" t="s">
        <v>11</v>
      </c>
      <c r="D5" s="18">
        <v>22</v>
      </c>
      <c r="E5" s="19">
        <f>D5*VLOOKUP(B5,'product table'!$A:$D,4,0)</f>
        <v>660</v>
      </c>
      <c r="F5" s="18" t="str">
        <f>VLOOKUP(B5,'product table'!$A:$B,2,0)</f>
        <v>Marker</v>
      </c>
      <c r="G5" s="18" t="str">
        <f>VLOOKUP(B5,'product table'!$A:$C,3,0)</f>
        <v>Stationery</v>
      </c>
      <c r="H5" s="18" t="str">
        <f>VLOOKUP(C5,'stores table'!$A:$B,2,0)</f>
        <v>Mumbai Central</v>
      </c>
      <c r="I5" s="18" t="str">
        <f>VLOOKUP(C5,'stores table'!$A:$D,3,0)</f>
        <v>Mumbai</v>
      </c>
      <c r="J5" s="18" t="str">
        <f>VLOOKUP(C5,'stores table'!$A:$D,4,0)</f>
        <v>West</v>
      </c>
    </row>
    <row r="6" spans="1:10" ht="14.25" customHeight="1" x14ac:dyDescent="0.35">
      <c r="A6" s="14">
        <v>45841</v>
      </c>
      <c r="B6" s="15" t="s">
        <v>17</v>
      </c>
      <c r="C6" s="15" t="s">
        <v>13</v>
      </c>
      <c r="D6" s="15">
        <v>15</v>
      </c>
      <c r="E6" s="16">
        <f>D6*VLOOKUP(B6,'product table'!$A:$D,4,0)</f>
        <v>750</v>
      </c>
      <c r="F6" s="15" t="str">
        <f>VLOOKUP(B6,'product table'!$A:$B,2,0)</f>
        <v>Folder</v>
      </c>
      <c r="G6" s="15" t="str">
        <f>VLOOKUP(B6,'product table'!$A:$C,3,0)</f>
        <v>Office Supplies</v>
      </c>
      <c r="H6" s="15" t="str">
        <f>VLOOKUP(C6,'stores table'!$A:$B,2,0)</f>
        <v>Bengaluru MG Rd</v>
      </c>
      <c r="I6" s="15" t="str">
        <f>VLOOKUP(C6,'stores table'!$A:$D,3,0)</f>
        <v>Bengaluru</v>
      </c>
      <c r="J6" s="15" t="str">
        <f>VLOOKUP(C6,'stores table'!$A:$D,4,0)</f>
        <v>South</v>
      </c>
    </row>
    <row r="7" spans="1:10" ht="14.25" customHeight="1" x14ac:dyDescent="0.35">
      <c r="A7" s="17">
        <v>45841</v>
      </c>
      <c r="B7" s="18" t="s">
        <v>10</v>
      </c>
      <c r="C7" s="18" t="s">
        <v>15</v>
      </c>
      <c r="D7" s="18">
        <v>18</v>
      </c>
      <c r="E7" s="19">
        <f>D7*VLOOKUP(B7,'product table'!$A:$D,4,0)</f>
        <v>2160</v>
      </c>
      <c r="F7" s="18" t="str">
        <f>VLOOKUP(B7,'product table'!$A:$B,2,0)</f>
        <v>Notebook</v>
      </c>
      <c r="G7" s="18" t="str">
        <f>VLOOKUP(B7,'product table'!$A:$C,3,0)</f>
        <v>Stationery</v>
      </c>
      <c r="H7" s="18" t="str">
        <f>VLOOKUP(C7,'stores table'!$A:$B,2,0)</f>
        <v>Delhi Connaught</v>
      </c>
      <c r="I7" s="18" t="str">
        <f>VLOOKUP(C7,'stores table'!$A:$D,3,0)</f>
        <v>Delhi</v>
      </c>
      <c r="J7" s="18" t="str">
        <f>VLOOKUP(C7,'stores table'!$A:$D,4,0)</f>
        <v>North</v>
      </c>
    </row>
    <row r="8" spans="1:10" ht="14.25" customHeight="1" x14ac:dyDescent="0.35">
      <c r="A8" s="14">
        <v>45842</v>
      </c>
      <c r="B8" s="15" t="s">
        <v>12</v>
      </c>
      <c r="C8" s="15" t="s">
        <v>11</v>
      </c>
      <c r="D8" s="15">
        <v>40</v>
      </c>
      <c r="E8" s="16">
        <f>D8*VLOOKUP(B8,'product table'!$A:$D,4,0)</f>
        <v>600</v>
      </c>
      <c r="F8" s="15" t="str">
        <f>VLOOKUP(B8,'product table'!$A:$B,2,0)</f>
        <v>Pen</v>
      </c>
      <c r="G8" s="15" t="str">
        <f>VLOOKUP(B8,'product table'!$A:$C,3,0)</f>
        <v>Stationery</v>
      </c>
      <c r="H8" s="15" t="str">
        <f>VLOOKUP(C8,'stores table'!$A:$B,2,0)</f>
        <v>Mumbai Central</v>
      </c>
      <c r="I8" s="15" t="str">
        <f>VLOOKUP(C8,'stores table'!$A:$D,3,0)</f>
        <v>Mumbai</v>
      </c>
      <c r="J8" s="15" t="str">
        <f>VLOOKUP(C8,'stores table'!$A:$D,4,0)</f>
        <v>West</v>
      </c>
    </row>
    <row r="9" spans="1:10" ht="14.25" customHeight="1" x14ac:dyDescent="0.35">
      <c r="A9" s="17">
        <v>45842</v>
      </c>
      <c r="B9" s="18" t="s">
        <v>16</v>
      </c>
      <c r="C9" s="18" t="s">
        <v>13</v>
      </c>
      <c r="D9" s="18">
        <v>10</v>
      </c>
      <c r="E9" s="19">
        <f>D9*VLOOKUP(B9,'product table'!$A:$D,4,0)</f>
        <v>300</v>
      </c>
      <c r="F9" s="18" t="str">
        <f>VLOOKUP(B9,'product table'!$A:$B,2,0)</f>
        <v>Marker</v>
      </c>
      <c r="G9" s="18" t="str">
        <f>VLOOKUP(B9,'product table'!$A:$C,3,0)</f>
        <v>Stationery</v>
      </c>
      <c r="H9" s="18" t="str">
        <f>VLOOKUP(C9,'stores table'!$A:$B,2,0)</f>
        <v>Bengaluru MG Rd</v>
      </c>
      <c r="I9" s="18" t="str">
        <f>VLOOKUP(C9,'stores table'!$A:$D,3,0)</f>
        <v>Bengaluru</v>
      </c>
      <c r="J9" s="18" t="str">
        <f>VLOOKUP(C9,'stores table'!$A:$D,4,0)</f>
        <v>South</v>
      </c>
    </row>
    <row r="10" spans="1:10" ht="14.25" customHeight="1" x14ac:dyDescent="0.35">
      <c r="A10" s="14">
        <v>45843</v>
      </c>
      <c r="B10" s="15" t="s">
        <v>14</v>
      </c>
      <c r="C10" s="15" t="s">
        <v>15</v>
      </c>
      <c r="D10" s="15">
        <v>6</v>
      </c>
      <c r="E10" s="16">
        <f>D10*VLOOKUP(B10,'product table'!$A:$D,4,0)</f>
        <v>1320</v>
      </c>
      <c r="F10" s="15" t="str">
        <f>VLOOKUP(B10,'product table'!$A:$B,2,0)</f>
        <v>Stapler</v>
      </c>
      <c r="G10" s="15" t="str">
        <f>VLOOKUP(B10,'product table'!$A:$C,3,0)</f>
        <v>Office Supplies</v>
      </c>
      <c r="H10" s="15" t="str">
        <f>VLOOKUP(C10,'stores table'!$A:$B,2,0)</f>
        <v>Delhi Connaught</v>
      </c>
      <c r="I10" s="15" t="str">
        <f>VLOOKUP(C10,'stores table'!$A:$D,3,0)</f>
        <v>Delhi</v>
      </c>
      <c r="J10" s="15" t="str">
        <f>VLOOKUP(C10,'stores table'!$A:$D,4,0)</f>
        <v>North</v>
      </c>
    </row>
    <row r="11" spans="1:10" ht="14.25" customHeight="1" x14ac:dyDescent="0.35">
      <c r="A11" s="17">
        <v>45843</v>
      </c>
      <c r="B11" s="18" t="s">
        <v>17</v>
      </c>
      <c r="C11" s="18" t="s">
        <v>11</v>
      </c>
      <c r="D11" s="18">
        <v>25</v>
      </c>
      <c r="E11" s="19">
        <f>D11*VLOOKUP(B11,'product table'!$A:$D,4,0)</f>
        <v>1250</v>
      </c>
      <c r="F11" s="18" t="str">
        <f>VLOOKUP(B11,'product table'!$A:$B,2,0)</f>
        <v>Folder</v>
      </c>
      <c r="G11" s="18" t="str">
        <f>VLOOKUP(B11,'product table'!$A:$C,3,0)</f>
        <v>Office Supplies</v>
      </c>
      <c r="H11" s="18" t="str">
        <f>VLOOKUP(C11,'stores table'!$A:$B,2,0)</f>
        <v>Mumbai Central</v>
      </c>
      <c r="I11" s="18" t="str">
        <f>VLOOKUP(C11,'stores table'!$A:$D,3,0)</f>
        <v>Mumbai</v>
      </c>
      <c r="J11" s="18" t="str">
        <f>VLOOKUP(C11,'stores table'!$A:$D,4,0)</f>
        <v>West</v>
      </c>
    </row>
    <row r="12" spans="1:10" ht="18.75" customHeight="1" x14ac:dyDescent="0.35">
      <c r="A12" s="14">
        <v>45844</v>
      </c>
      <c r="B12" s="15" t="s">
        <v>10</v>
      </c>
      <c r="C12" s="15" t="s">
        <v>13</v>
      </c>
      <c r="D12" s="15">
        <v>30</v>
      </c>
      <c r="E12" s="16">
        <f>D12*VLOOKUP(B12,'product table'!$A:$D,4,0)</f>
        <v>3600</v>
      </c>
      <c r="F12" s="15" t="str">
        <f>VLOOKUP(B12,'product table'!$A:$B,2,0)</f>
        <v>Notebook</v>
      </c>
      <c r="G12" s="15" t="str">
        <f>VLOOKUP(B12,'product table'!$A:$C,3,0)</f>
        <v>Stationery</v>
      </c>
      <c r="H12" s="15" t="str">
        <f>VLOOKUP(C12,'stores table'!$A:$B,2,0)</f>
        <v>Bengaluru MG Rd</v>
      </c>
      <c r="I12" s="15" t="str">
        <f>VLOOKUP(C12,'stores table'!$A:$D,3,0)</f>
        <v>Bengaluru</v>
      </c>
      <c r="J12" s="15" t="str">
        <f>VLOOKUP(C12,'stores table'!$A:$D,4,0)</f>
        <v>South</v>
      </c>
    </row>
    <row r="13" spans="1:10" ht="14.25" customHeight="1" x14ac:dyDescent="0.35">
      <c r="A13" s="17">
        <v>45844</v>
      </c>
      <c r="B13" s="18" t="s">
        <v>12</v>
      </c>
      <c r="C13" s="18" t="s">
        <v>15</v>
      </c>
      <c r="D13" s="18">
        <v>28</v>
      </c>
      <c r="E13" s="19">
        <f>D13*VLOOKUP(B13,'product table'!$A:$D,4,0)</f>
        <v>420</v>
      </c>
      <c r="F13" s="18" t="str">
        <f>VLOOKUP(B13,'product table'!$A:$B,2,0)</f>
        <v>Pen</v>
      </c>
      <c r="G13" s="18" t="str">
        <f>VLOOKUP(B13,'product table'!$A:$C,3,0)</f>
        <v>Stationery</v>
      </c>
      <c r="H13" s="18" t="str">
        <f>VLOOKUP(C13,'stores table'!$A:$B,2,0)</f>
        <v>Delhi Connaught</v>
      </c>
      <c r="I13" s="18" t="str">
        <f>VLOOKUP(C13,'stores table'!$A:$D,3,0)</f>
        <v>Delhi</v>
      </c>
      <c r="J13" s="18" t="str">
        <f>VLOOKUP(C13,'stores table'!$A:$D,4,0)</f>
        <v>North</v>
      </c>
    </row>
    <row r="14" spans="1:10" ht="14.25" customHeight="1" x14ac:dyDescent="0.35">
      <c r="A14" s="14">
        <v>45845</v>
      </c>
      <c r="B14" s="15" t="s">
        <v>16</v>
      </c>
      <c r="C14" s="15" t="s">
        <v>11</v>
      </c>
      <c r="D14" s="15">
        <v>12</v>
      </c>
      <c r="E14" s="16">
        <f>D14*VLOOKUP(B14,'product table'!$A:$D,4,0)</f>
        <v>360</v>
      </c>
      <c r="F14" s="15" t="str">
        <f>VLOOKUP(B14,'product table'!$A:$B,2,0)</f>
        <v>Marker</v>
      </c>
      <c r="G14" s="15" t="str">
        <f>VLOOKUP(B14,'product table'!$A:$C,3,0)</f>
        <v>Stationery</v>
      </c>
      <c r="H14" s="15" t="str">
        <f>VLOOKUP(C14,'stores table'!$A:$B,2,0)</f>
        <v>Mumbai Central</v>
      </c>
      <c r="I14" s="15" t="str">
        <f>VLOOKUP(C14,'stores table'!$A:$D,3,0)</f>
        <v>Mumbai</v>
      </c>
      <c r="J14" s="15" t="str">
        <f>VLOOKUP(C14,'stores table'!$A:$D,4,0)</f>
        <v>West</v>
      </c>
    </row>
    <row r="15" spans="1:10" ht="14.25" customHeight="1" x14ac:dyDescent="0.35">
      <c r="A15" s="17">
        <v>45845</v>
      </c>
      <c r="B15" s="18" t="s">
        <v>14</v>
      </c>
      <c r="C15" s="18" t="s">
        <v>13</v>
      </c>
      <c r="D15" s="18">
        <v>20</v>
      </c>
      <c r="E15" s="19">
        <f>D15*VLOOKUP(B15,'product table'!$A:$D,4,0)</f>
        <v>4400</v>
      </c>
      <c r="F15" s="18" t="str">
        <f>VLOOKUP(B15,'product table'!$A:$B,2,0)</f>
        <v>Stapler</v>
      </c>
      <c r="G15" s="18" t="str">
        <f>VLOOKUP(B15,'product table'!$A:$C,3,0)</f>
        <v>Office Supplies</v>
      </c>
      <c r="H15" s="18" t="str">
        <f>VLOOKUP(C15,'stores table'!$A:$B,2,0)</f>
        <v>Bengaluru MG Rd</v>
      </c>
      <c r="I15" s="18" t="str">
        <f>VLOOKUP(C15,'stores table'!$A:$D,3,0)</f>
        <v>Bengaluru</v>
      </c>
      <c r="J15" s="18" t="str">
        <f>VLOOKUP(C15,'stores table'!$A:$D,4,0)</f>
        <v>South</v>
      </c>
    </row>
    <row r="16" spans="1:10" ht="14.25" customHeight="1" x14ac:dyDescent="0.35">
      <c r="A16" s="14">
        <v>45846</v>
      </c>
      <c r="B16" s="15" t="s">
        <v>17</v>
      </c>
      <c r="C16" s="15" t="s">
        <v>15</v>
      </c>
      <c r="D16" s="15">
        <v>14</v>
      </c>
      <c r="E16" s="16">
        <f>D16*VLOOKUP(B16,'product table'!$A:$D,4,0)</f>
        <v>700</v>
      </c>
      <c r="F16" s="15" t="str">
        <f>VLOOKUP(B16,'product table'!$A:$B,2,0)</f>
        <v>Folder</v>
      </c>
      <c r="G16" s="15" t="str">
        <f>VLOOKUP(B16,'product table'!$A:$C,3,0)</f>
        <v>Office Supplies</v>
      </c>
      <c r="H16" s="15" t="str">
        <f>VLOOKUP(C16,'stores table'!$A:$B,2,0)</f>
        <v>Delhi Connaught</v>
      </c>
      <c r="I16" s="15" t="str">
        <f>VLOOKUP(C16,'stores table'!$A:$D,3,0)</f>
        <v>Delhi</v>
      </c>
      <c r="J16" s="15" t="str">
        <f>VLOOKUP(C16,'stores table'!$A:$D,4,0)</f>
        <v>North</v>
      </c>
    </row>
    <row r="17" spans="1:10" ht="14.25" customHeight="1" x14ac:dyDescent="0.35">
      <c r="A17" s="17">
        <v>45846</v>
      </c>
      <c r="B17" s="18" t="s">
        <v>10</v>
      </c>
      <c r="C17" s="18" t="s">
        <v>11</v>
      </c>
      <c r="D17" s="18">
        <v>16</v>
      </c>
      <c r="E17" s="19">
        <f>D17*VLOOKUP(B17,'product table'!$A:$D,4,0)</f>
        <v>1920</v>
      </c>
      <c r="F17" s="18" t="str">
        <f>VLOOKUP(B17,'product table'!$A:$B,2,0)</f>
        <v>Notebook</v>
      </c>
      <c r="G17" s="18" t="str">
        <f>VLOOKUP(B17,'product table'!$A:$C,3,0)</f>
        <v>Stationery</v>
      </c>
      <c r="H17" s="18" t="str">
        <f>VLOOKUP(C17,'stores table'!$A:$B,2,0)</f>
        <v>Mumbai Central</v>
      </c>
      <c r="I17" s="18" t="str">
        <f>VLOOKUP(C17,'stores table'!$A:$D,3,0)</f>
        <v>Mumbai</v>
      </c>
      <c r="J17" s="18" t="str">
        <f>VLOOKUP(C17,'stores table'!$A:$D,4,0)</f>
        <v>West</v>
      </c>
    </row>
    <row r="18" spans="1:10" ht="14.25" customHeight="1" x14ac:dyDescent="0.35">
      <c r="A18" s="14">
        <v>45847</v>
      </c>
      <c r="B18" s="15" t="s">
        <v>12</v>
      </c>
      <c r="C18" s="15" t="s">
        <v>13</v>
      </c>
      <c r="D18" s="15">
        <v>50</v>
      </c>
      <c r="E18" s="16">
        <f>D18*VLOOKUP(B18,'product table'!$A:$D,4,0)</f>
        <v>750</v>
      </c>
      <c r="F18" s="15" t="str">
        <f>VLOOKUP(B18,'product table'!$A:$B,2,0)</f>
        <v>Pen</v>
      </c>
      <c r="G18" s="15" t="str">
        <f>VLOOKUP(B18,'product table'!$A:$C,3,0)</f>
        <v>Stationery</v>
      </c>
      <c r="H18" s="15" t="str">
        <f>VLOOKUP(C18,'stores table'!$A:$B,2,0)</f>
        <v>Bengaluru MG Rd</v>
      </c>
      <c r="I18" s="15" t="str">
        <f>VLOOKUP(C18,'stores table'!$A:$D,3,0)</f>
        <v>Bengaluru</v>
      </c>
      <c r="J18" s="15" t="str">
        <f>VLOOKUP(C18,'stores table'!$A:$D,4,0)</f>
        <v>South</v>
      </c>
    </row>
    <row r="19" spans="1:10" ht="14.25" customHeight="1" x14ac:dyDescent="0.35">
      <c r="A19" s="17">
        <v>45847</v>
      </c>
      <c r="B19" s="18" t="s">
        <v>16</v>
      </c>
      <c r="C19" s="18" t="s">
        <v>15</v>
      </c>
      <c r="D19" s="18">
        <v>8</v>
      </c>
      <c r="E19" s="19">
        <f>D19*VLOOKUP(B19,'product table'!$A:$D,4,0)</f>
        <v>240</v>
      </c>
      <c r="F19" s="18" t="str">
        <f>VLOOKUP(B19,'product table'!$A:$B,2,0)</f>
        <v>Marker</v>
      </c>
      <c r="G19" s="18" t="str">
        <f>VLOOKUP(B19,'product table'!$A:$C,3,0)</f>
        <v>Stationery</v>
      </c>
      <c r="H19" s="18" t="str">
        <f>VLOOKUP(C19,'stores table'!$A:$B,2,0)</f>
        <v>Delhi Connaught</v>
      </c>
      <c r="I19" s="18" t="str">
        <f>VLOOKUP(C19,'stores table'!$A:$D,3,0)</f>
        <v>Delhi</v>
      </c>
      <c r="J19" s="18" t="str">
        <f>VLOOKUP(C19,'stores table'!$A:$D,4,0)</f>
        <v>North</v>
      </c>
    </row>
    <row r="20" spans="1:10" ht="14.25" customHeight="1" x14ac:dyDescent="0.35">
      <c r="A20" s="14">
        <v>45848</v>
      </c>
      <c r="B20" s="15" t="s">
        <v>14</v>
      </c>
      <c r="C20" s="15" t="s">
        <v>11</v>
      </c>
      <c r="D20" s="15">
        <v>11</v>
      </c>
      <c r="E20" s="16">
        <f>D20*VLOOKUP(B20,'product table'!$A:$D,4,0)</f>
        <v>2420</v>
      </c>
      <c r="F20" s="15" t="str">
        <f>VLOOKUP(B20,'product table'!$A:$B,2,0)</f>
        <v>Stapler</v>
      </c>
      <c r="G20" s="15" t="str">
        <f>VLOOKUP(B20,'product table'!$A:$C,3,0)</f>
        <v>Office Supplies</v>
      </c>
      <c r="H20" s="15" t="str">
        <f>VLOOKUP(C20,'stores table'!$A:$B,2,0)</f>
        <v>Mumbai Central</v>
      </c>
      <c r="I20" s="15" t="str">
        <f>VLOOKUP(C20,'stores table'!$A:$D,3,0)</f>
        <v>Mumbai</v>
      </c>
      <c r="J20" s="15" t="str">
        <f>VLOOKUP(C20,'stores table'!$A:$D,4,0)</f>
        <v>West</v>
      </c>
    </row>
    <row r="21" spans="1:10" ht="14.25" customHeight="1" x14ac:dyDescent="0.35">
      <c r="A21" s="17">
        <v>45848</v>
      </c>
      <c r="B21" s="18" t="s">
        <v>17</v>
      </c>
      <c r="C21" s="18" t="s">
        <v>13</v>
      </c>
      <c r="D21" s="18">
        <v>19</v>
      </c>
      <c r="E21" s="19">
        <f>D21*VLOOKUP(B21,'product table'!$A:$D,4,0)</f>
        <v>950</v>
      </c>
      <c r="F21" s="18" t="str">
        <f>VLOOKUP(B21,'product table'!$A:$B,2,0)</f>
        <v>Folder</v>
      </c>
      <c r="G21" s="18" t="str">
        <f>VLOOKUP(B21,'product table'!$A:$C,3,0)</f>
        <v>Office Supplies</v>
      </c>
      <c r="H21" s="18" t="str">
        <f>VLOOKUP(C21,'stores table'!$A:$B,2,0)</f>
        <v>Bengaluru MG Rd</v>
      </c>
      <c r="I21" s="18" t="str">
        <f>VLOOKUP(C21,'stores table'!$A:$D,3,0)</f>
        <v>Bengaluru</v>
      </c>
      <c r="J21" s="18" t="str">
        <f>VLOOKUP(C21,'stores table'!$A:$D,4,0)</f>
        <v>South</v>
      </c>
    </row>
    <row r="22" spans="1:10" ht="14.25" customHeight="1" x14ac:dyDescent="0.35">
      <c r="A22" s="14">
        <v>45846</v>
      </c>
      <c r="B22" s="15" t="s">
        <v>10</v>
      </c>
      <c r="C22" s="15" t="s">
        <v>15</v>
      </c>
      <c r="D22" s="15">
        <v>14</v>
      </c>
      <c r="E22" s="16">
        <f>D22*VLOOKUP(B22,'product table'!$A:$D,4,0)</f>
        <v>1680</v>
      </c>
      <c r="F22" s="15" t="str">
        <f>VLOOKUP(B22,'product table'!$A:$B,2,0)</f>
        <v>Notebook</v>
      </c>
      <c r="G22" s="15" t="str">
        <f>VLOOKUP(B22,'product table'!$A:$C,3,0)</f>
        <v>Stationery</v>
      </c>
      <c r="H22" s="15" t="str">
        <f>VLOOKUP(C22,'stores table'!$A:$B,2,0)</f>
        <v>Delhi Connaught</v>
      </c>
      <c r="I22" s="15" t="str">
        <f>VLOOKUP(C22,'stores table'!$A:$D,3,0)</f>
        <v>Delhi</v>
      </c>
      <c r="J22" s="15" t="str">
        <f>VLOOKUP(C22,'stores table'!$A:$D,4,0)</f>
        <v>North</v>
      </c>
    </row>
    <row r="23" spans="1:10" ht="14.25" customHeight="1" x14ac:dyDescent="0.35">
      <c r="A23" s="17">
        <v>45846</v>
      </c>
      <c r="B23" s="18" t="s">
        <v>17</v>
      </c>
      <c r="C23" s="18" t="s">
        <v>11</v>
      </c>
      <c r="D23" s="18">
        <v>45</v>
      </c>
      <c r="E23" s="19">
        <f>D23*VLOOKUP(B23,'product table'!$A:$D,4,0)</f>
        <v>2250</v>
      </c>
      <c r="F23" s="18" t="str">
        <f>VLOOKUP(B23,'product table'!$A:$B,2,0)</f>
        <v>Folder</v>
      </c>
      <c r="G23" s="18" t="str">
        <f>VLOOKUP(B23,'product table'!$A:$C,3,0)</f>
        <v>Office Supplies</v>
      </c>
      <c r="H23" s="18" t="str">
        <f>VLOOKUP(C23,'stores table'!$A:$B,2,0)</f>
        <v>Mumbai Central</v>
      </c>
      <c r="I23" s="18" t="str">
        <f>VLOOKUP(C23,'stores table'!$A:$D,3,0)</f>
        <v>Mumbai</v>
      </c>
      <c r="J23" s="18" t="str">
        <f>VLOOKUP(C23,'stores table'!$A:$D,4,0)</f>
        <v>West</v>
      </c>
    </row>
    <row r="24" spans="1:10" ht="14.25" customHeight="1" x14ac:dyDescent="0.35">
      <c r="A24" s="14">
        <v>45847</v>
      </c>
      <c r="B24" s="15" t="s">
        <v>16</v>
      </c>
      <c r="C24" s="15" t="s">
        <v>13</v>
      </c>
      <c r="D24" s="15">
        <v>59</v>
      </c>
      <c r="E24" s="16">
        <f>D24*VLOOKUP(B24,'product table'!$A:$D,4,0)</f>
        <v>1770</v>
      </c>
      <c r="F24" s="15" t="str">
        <f>VLOOKUP(B24,'product table'!$A:$B,2,0)</f>
        <v>Marker</v>
      </c>
      <c r="G24" s="15" t="str">
        <f>VLOOKUP(B24,'product table'!$A:$C,3,0)</f>
        <v>Stationery</v>
      </c>
      <c r="H24" s="15" t="str">
        <f>VLOOKUP(C24,'stores table'!$A:$B,2,0)</f>
        <v>Bengaluru MG Rd</v>
      </c>
      <c r="I24" s="15" t="str">
        <f>VLOOKUP(C24,'stores table'!$A:$D,3,0)</f>
        <v>Bengaluru</v>
      </c>
      <c r="J24" s="15" t="str">
        <f>VLOOKUP(C24,'stores table'!$A:$D,4,0)</f>
        <v>South</v>
      </c>
    </row>
    <row r="25" spans="1:10" ht="14.25" customHeight="1" x14ac:dyDescent="0.35">
      <c r="A25" s="17">
        <v>45847</v>
      </c>
      <c r="B25" s="18" t="s">
        <v>12</v>
      </c>
      <c r="C25" s="18" t="s">
        <v>15</v>
      </c>
      <c r="D25" s="18">
        <v>26</v>
      </c>
      <c r="E25" s="19">
        <f>D25*VLOOKUP(B25,'product table'!$A:$D,4,0)</f>
        <v>390</v>
      </c>
      <c r="F25" s="18" t="str">
        <f>VLOOKUP(B25,'product table'!$A:$B,2,0)</f>
        <v>Pen</v>
      </c>
      <c r="G25" s="18" t="str">
        <f>VLOOKUP(B25,'product table'!$A:$C,3,0)</f>
        <v>Stationery</v>
      </c>
      <c r="H25" s="18" t="str">
        <f>VLOOKUP(C25,'stores table'!$A:$B,2,0)</f>
        <v>Delhi Connaught</v>
      </c>
      <c r="I25" s="18" t="str">
        <f>VLOOKUP(C25,'stores table'!$A:$D,3,0)</f>
        <v>Delhi</v>
      </c>
      <c r="J25" s="18" t="str">
        <f>VLOOKUP(C25,'stores table'!$A:$D,4,0)</f>
        <v>North</v>
      </c>
    </row>
    <row r="26" spans="1:10" ht="14.25" customHeight="1" x14ac:dyDescent="0.35">
      <c r="A26" s="14">
        <v>45848</v>
      </c>
      <c r="B26" s="15" t="s">
        <v>16</v>
      </c>
      <c r="C26" s="15" t="s">
        <v>11</v>
      </c>
      <c r="D26" s="15">
        <v>16</v>
      </c>
      <c r="E26" s="16">
        <f>D26*VLOOKUP(B26,'product table'!$A:$D,4,0)</f>
        <v>480</v>
      </c>
      <c r="F26" s="15" t="str">
        <f>VLOOKUP(B26,'product table'!$A:$B,2,0)</f>
        <v>Marker</v>
      </c>
      <c r="G26" s="15" t="str">
        <f>VLOOKUP(B26,'product table'!$A:$C,3,0)</f>
        <v>Stationery</v>
      </c>
      <c r="H26" s="15" t="str">
        <f>VLOOKUP(C26,'stores table'!$A:$B,2,0)</f>
        <v>Mumbai Central</v>
      </c>
      <c r="I26" s="15" t="str">
        <f>VLOOKUP(C26,'stores table'!$A:$D,3,0)</f>
        <v>Mumbai</v>
      </c>
      <c r="J26" s="15" t="str">
        <f>VLOOKUP(C26,'stores table'!$A:$D,4,0)</f>
        <v>West</v>
      </c>
    </row>
    <row r="27" spans="1:10" ht="14.25" customHeight="1" x14ac:dyDescent="0.35">
      <c r="A27" s="17">
        <v>45848</v>
      </c>
      <c r="B27" s="18" t="s">
        <v>10</v>
      </c>
      <c r="C27" s="18" t="s">
        <v>13</v>
      </c>
      <c r="D27" s="18">
        <v>20</v>
      </c>
      <c r="E27" s="19">
        <f>D27*VLOOKUP(B27,'product table'!$A:$D,4,0)</f>
        <v>2400</v>
      </c>
      <c r="F27" s="18" t="str">
        <f>VLOOKUP(B27,'product table'!$A:$B,2,0)</f>
        <v>Notebook</v>
      </c>
      <c r="G27" s="18" t="str">
        <f>VLOOKUP(B27,'product table'!$A:$C,3,0)</f>
        <v>Stationery</v>
      </c>
      <c r="H27" s="18" t="str">
        <f>VLOOKUP(C27,'stores table'!$A:$B,2,0)</f>
        <v>Bengaluru MG Rd</v>
      </c>
      <c r="I27" s="18" t="str">
        <f>VLOOKUP(C27,'stores table'!$A:$D,3,0)</f>
        <v>Bengaluru</v>
      </c>
      <c r="J27" s="18" t="str">
        <f>VLOOKUP(C27,'stores table'!$A:$D,4,0)</f>
        <v>South</v>
      </c>
    </row>
    <row r="28" spans="1:10" ht="14.25" customHeight="1" x14ac:dyDescent="0.35"/>
    <row r="29" spans="1:10" ht="14.25" customHeight="1" x14ac:dyDescent="0.35"/>
    <row r="30" spans="1:10" ht="14.25" customHeight="1" x14ac:dyDescent="0.35"/>
    <row r="31" spans="1:10" ht="14.25" customHeight="1" x14ac:dyDescent="0.35"/>
    <row r="32" spans="1:10" ht="14.25" customHeight="1" x14ac:dyDescent="0.35"/>
    <row r="33" spans="1:1" ht="14.25" customHeight="1" x14ac:dyDescent="0.35">
      <c r="A33" s="20"/>
    </row>
    <row r="34" spans="1:1" ht="14.25" customHeight="1" x14ac:dyDescent="0.35">
      <c r="A34" s="20"/>
    </row>
    <row r="35" spans="1:1" ht="14.25" customHeight="1" x14ac:dyDescent="0.35">
      <c r="A35" s="20"/>
    </row>
    <row r="36" spans="1:1" ht="14.25" customHeight="1" x14ac:dyDescent="0.35">
      <c r="A36" s="20"/>
    </row>
    <row r="37" spans="1:1" ht="14.25" customHeight="1" x14ac:dyDescent="0.35"/>
    <row r="38" spans="1:1" ht="14.25" customHeight="1" x14ac:dyDescent="0.35"/>
    <row r="39" spans="1:1" ht="14.25" customHeight="1" x14ac:dyDescent="0.35"/>
    <row r="40" spans="1:1" ht="14.25" customHeight="1" x14ac:dyDescent="0.35"/>
    <row r="41" spans="1:1" ht="14.25" customHeight="1" x14ac:dyDescent="0.35"/>
    <row r="42" spans="1:1" ht="14.25" customHeight="1" x14ac:dyDescent="0.35"/>
    <row r="43" spans="1:1" ht="14.25" customHeight="1" x14ac:dyDescent="0.35"/>
    <row r="44" spans="1:1" ht="14.25" customHeight="1" x14ac:dyDescent="0.35"/>
    <row r="45" spans="1:1" ht="14.25" customHeight="1" x14ac:dyDescent="0.35"/>
    <row r="46" spans="1:1" ht="14.25" customHeight="1" x14ac:dyDescent="0.35"/>
    <row r="47" spans="1:1" ht="14.25" customHeight="1" x14ac:dyDescent="0.35"/>
    <row r="48" spans="1:1" ht="14.25" customHeight="1" x14ac:dyDescent="0.35"/>
    <row r="49" ht="14.25" customHeight="1" x14ac:dyDescent="0.35"/>
    <row r="50" ht="14.25" customHeight="1" x14ac:dyDescent="0.35"/>
    <row r="51" ht="14.25" customHeight="1" x14ac:dyDescent="0.35"/>
    <row r="52" ht="14.25" customHeight="1" x14ac:dyDescent="0.35"/>
    <row r="53" ht="14.25" customHeight="1" x14ac:dyDescent="0.35"/>
    <row r="54" ht="14.25" customHeight="1" x14ac:dyDescent="0.35"/>
    <row r="55" ht="14.25" customHeight="1" x14ac:dyDescent="0.35"/>
    <row r="56" ht="14.25" customHeight="1" x14ac:dyDescent="0.35"/>
    <row r="57" ht="14.25" customHeight="1" x14ac:dyDescent="0.35"/>
    <row r="58" ht="14.25" customHeight="1" x14ac:dyDescent="0.35"/>
    <row r="59" ht="14.25" customHeight="1" x14ac:dyDescent="0.35"/>
    <row r="60" ht="14.25" customHeight="1" x14ac:dyDescent="0.35"/>
    <row r="61" ht="14.25" customHeight="1" x14ac:dyDescent="0.35"/>
    <row r="62" ht="14.25" customHeight="1" x14ac:dyDescent="0.35"/>
    <row r="63" ht="14.25" customHeight="1" x14ac:dyDescent="0.35"/>
    <row r="64" ht="14.25" customHeight="1" x14ac:dyDescent="0.35"/>
    <row r="65" ht="14.25" customHeight="1" x14ac:dyDescent="0.35"/>
    <row r="66" ht="14.25" customHeight="1" x14ac:dyDescent="0.35"/>
    <row r="67" ht="14.25" customHeight="1" x14ac:dyDescent="0.35"/>
    <row r="68" ht="14.25" customHeight="1" x14ac:dyDescent="0.35"/>
    <row r="69" ht="14.25" customHeight="1" x14ac:dyDescent="0.35"/>
    <row r="70" ht="14.25" customHeight="1" x14ac:dyDescent="0.35"/>
    <row r="71" ht="14.25" customHeight="1" x14ac:dyDescent="0.35"/>
    <row r="72" ht="14.25" customHeight="1" x14ac:dyDescent="0.35"/>
    <row r="73" ht="14.25" customHeight="1" x14ac:dyDescent="0.35"/>
    <row r="74" ht="14.25" customHeight="1" x14ac:dyDescent="0.35"/>
    <row r="75" ht="14.25" customHeight="1" x14ac:dyDescent="0.35"/>
    <row r="76" ht="14.25" customHeight="1" x14ac:dyDescent="0.35"/>
    <row r="77" ht="14.25" customHeight="1" x14ac:dyDescent="0.35"/>
    <row r="78" ht="14.25" customHeight="1" x14ac:dyDescent="0.35"/>
    <row r="79" ht="14.25" customHeight="1" x14ac:dyDescent="0.35"/>
    <row r="80" ht="14.25" customHeight="1" x14ac:dyDescent="0.35"/>
    <row r="81" ht="14.25" customHeight="1" x14ac:dyDescent="0.35"/>
    <row r="82" ht="14.25" customHeight="1" x14ac:dyDescent="0.35"/>
    <row r="83" ht="14.25" customHeight="1" x14ac:dyDescent="0.35"/>
    <row r="84" ht="14.25" customHeight="1" x14ac:dyDescent="0.35"/>
    <row r="85" ht="14.25" customHeight="1" x14ac:dyDescent="0.35"/>
    <row r="86" ht="14.25" customHeight="1" x14ac:dyDescent="0.35"/>
    <row r="87" ht="14.25" customHeight="1" x14ac:dyDescent="0.35"/>
    <row r="88" ht="14.25" customHeight="1" x14ac:dyDescent="0.35"/>
    <row r="89" ht="14.25" customHeight="1" x14ac:dyDescent="0.35"/>
    <row r="90" ht="14.25" customHeight="1" x14ac:dyDescent="0.35"/>
    <row r="91" ht="14.25" customHeight="1" x14ac:dyDescent="0.35"/>
    <row r="92" ht="14.25" customHeight="1" x14ac:dyDescent="0.35"/>
    <row r="93" ht="14.25" customHeight="1" x14ac:dyDescent="0.35"/>
    <row r="94" ht="14.25" customHeight="1" x14ac:dyDescent="0.35"/>
    <row r="95" ht="14.25" customHeight="1" x14ac:dyDescent="0.35"/>
    <row r="96" ht="14.25" customHeight="1" x14ac:dyDescent="0.35"/>
    <row r="97" ht="14.25" customHeight="1" x14ac:dyDescent="0.35"/>
    <row r="98" ht="14.25" customHeight="1" x14ac:dyDescent="0.35"/>
    <row r="99" ht="14.25" customHeight="1" x14ac:dyDescent="0.35"/>
    <row r="100" ht="14.25" customHeight="1" x14ac:dyDescent="0.35"/>
    <row r="101" ht="14.25" customHeight="1" x14ac:dyDescent="0.35"/>
    <row r="102" ht="14.25" customHeight="1" x14ac:dyDescent="0.35"/>
    <row r="103" ht="14.25" customHeight="1" x14ac:dyDescent="0.35"/>
    <row r="104" ht="14.25" customHeight="1" x14ac:dyDescent="0.35"/>
    <row r="105" ht="14.25" customHeight="1" x14ac:dyDescent="0.35"/>
    <row r="106" ht="14.25" customHeight="1" x14ac:dyDescent="0.35"/>
    <row r="107" ht="14.25" customHeight="1" x14ac:dyDescent="0.35"/>
    <row r="108" ht="14.25" customHeight="1" x14ac:dyDescent="0.35"/>
    <row r="109" ht="14.25" customHeight="1" x14ac:dyDescent="0.35"/>
    <row r="110" ht="14.25" customHeight="1" x14ac:dyDescent="0.35"/>
    <row r="111" ht="14.25" customHeight="1" x14ac:dyDescent="0.35"/>
    <row r="112" ht="14.25" customHeight="1" x14ac:dyDescent="0.35"/>
    <row r="113" ht="14.25" customHeight="1" x14ac:dyDescent="0.35"/>
    <row r="114" ht="14.25" customHeight="1" x14ac:dyDescent="0.35"/>
    <row r="115" ht="14.25" customHeight="1" x14ac:dyDescent="0.35"/>
    <row r="116" ht="14.25" customHeight="1" x14ac:dyDescent="0.35"/>
    <row r="117" ht="14.25" customHeight="1" x14ac:dyDescent="0.35"/>
    <row r="118" ht="14.25" customHeight="1" x14ac:dyDescent="0.35"/>
    <row r="119" ht="14.25" customHeight="1" x14ac:dyDescent="0.35"/>
    <row r="120" ht="14.25" customHeight="1" x14ac:dyDescent="0.35"/>
    <row r="121" ht="14.25" customHeight="1" x14ac:dyDescent="0.35"/>
    <row r="122" ht="14.25" customHeight="1" x14ac:dyDescent="0.35"/>
    <row r="123" ht="14.25" customHeight="1" x14ac:dyDescent="0.35"/>
    <row r="124" ht="14.25" customHeight="1" x14ac:dyDescent="0.35"/>
    <row r="125" ht="14.25" customHeight="1" x14ac:dyDescent="0.35"/>
    <row r="126" ht="14.25" customHeight="1" x14ac:dyDescent="0.35"/>
    <row r="127" ht="14.25" customHeight="1" x14ac:dyDescent="0.35"/>
    <row r="128" ht="14.25" customHeight="1" x14ac:dyDescent="0.35"/>
    <row r="129" ht="14.25" customHeight="1" x14ac:dyDescent="0.35"/>
    <row r="130" ht="14.25" customHeight="1" x14ac:dyDescent="0.35"/>
    <row r="131" ht="14.25" customHeight="1" x14ac:dyDescent="0.35"/>
    <row r="132" ht="14.25" customHeight="1" x14ac:dyDescent="0.35"/>
    <row r="133" ht="14.25" customHeight="1" x14ac:dyDescent="0.35"/>
    <row r="134" ht="14.25" customHeight="1" x14ac:dyDescent="0.35"/>
    <row r="135" ht="14.25" customHeight="1" x14ac:dyDescent="0.35"/>
    <row r="136" ht="14.25" customHeight="1" x14ac:dyDescent="0.35"/>
    <row r="137" ht="14.25" customHeight="1" x14ac:dyDescent="0.35"/>
    <row r="138" ht="14.25" customHeight="1" x14ac:dyDescent="0.35"/>
    <row r="139" ht="14.25" customHeight="1" x14ac:dyDescent="0.35"/>
    <row r="140" ht="14.25" customHeight="1" x14ac:dyDescent="0.35"/>
    <row r="141" ht="14.25" customHeight="1" x14ac:dyDescent="0.35"/>
    <row r="142" ht="14.25" customHeight="1" x14ac:dyDescent="0.35"/>
    <row r="143" ht="14.25" customHeight="1" x14ac:dyDescent="0.35"/>
    <row r="144" ht="14.25" customHeight="1" x14ac:dyDescent="0.35"/>
    <row r="145" ht="14.25" customHeight="1" x14ac:dyDescent="0.35"/>
    <row r="146" ht="14.25" customHeight="1" x14ac:dyDescent="0.35"/>
    <row r="147" ht="14.25" customHeight="1" x14ac:dyDescent="0.35"/>
    <row r="148" ht="14.25" customHeight="1" x14ac:dyDescent="0.35"/>
    <row r="149" ht="14.25" customHeight="1" x14ac:dyDescent="0.35"/>
    <row r="150" ht="14.25" customHeight="1" x14ac:dyDescent="0.35"/>
    <row r="151" ht="14.25" customHeight="1" x14ac:dyDescent="0.35"/>
    <row r="152" ht="14.25" customHeight="1" x14ac:dyDescent="0.35"/>
    <row r="153" ht="14.25" customHeight="1" x14ac:dyDescent="0.35"/>
    <row r="154" ht="14.25" customHeight="1" x14ac:dyDescent="0.35"/>
    <row r="155" ht="14.25" customHeight="1" x14ac:dyDescent="0.35"/>
    <row r="156" ht="14.25" customHeight="1" x14ac:dyDescent="0.35"/>
    <row r="157" ht="14.25" customHeight="1" x14ac:dyDescent="0.35"/>
    <row r="158" ht="14.25" customHeight="1" x14ac:dyDescent="0.35"/>
    <row r="159" ht="14.25" customHeight="1" x14ac:dyDescent="0.35"/>
    <row r="160" ht="14.25" customHeight="1" x14ac:dyDescent="0.35"/>
    <row r="161" ht="14.25" customHeight="1" x14ac:dyDescent="0.35"/>
    <row r="162" ht="14.25" customHeight="1" x14ac:dyDescent="0.35"/>
    <row r="163" ht="14.25" customHeight="1" x14ac:dyDescent="0.35"/>
    <row r="164" ht="14.25" customHeight="1" x14ac:dyDescent="0.35"/>
    <row r="165" ht="14.25" customHeight="1" x14ac:dyDescent="0.35"/>
    <row r="166" ht="14.25" customHeight="1" x14ac:dyDescent="0.35"/>
    <row r="167" ht="14.25" customHeight="1" x14ac:dyDescent="0.35"/>
    <row r="168" ht="14.25" customHeight="1" x14ac:dyDescent="0.35"/>
    <row r="169" ht="14.25" customHeight="1" x14ac:dyDescent="0.35"/>
    <row r="170" ht="14.25" customHeight="1" x14ac:dyDescent="0.35"/>
    <row r="171" ht="14.25" customHeight="1" x14ac:dyDescent="0.35"/>
    <row r="172" ht="14.25" customHeight="1" x14ac:dyDescent="0.35"/>
    <row r="173" ht="14.25" customHeight="1" x14ac:dyDescent="0.35"/>
    <row r="174" ht="14.25" customHeight="1" x14ac:dyDescent="0.35"/>
    <row r="175" ht="14.25" customHeight="1" x14ac:dyDescent="0.35"/>
    <row r="176" ht="14.25" customHeight="1" x14ac:dyDescent="0.35"/>
    <row r="177" ht="14.25" customHeight="1" x14ac:dyDescent="0.35"/>
    <row r="178" ht="14.25" customHeight="1" x14ac:dyDescent="0.35"/>
    <row r="179" ht="14.25" customHeight="1" x14ac:dyDescent="0.35"/>
    <row r="180" ht="14.25" customHeight="1" x14ac:dyDescent="0.35"/>
    <row r="181" ht="14.25" customHeight="1" x14ac:dyDescent="0.35"/>
    <row r="182" ht="14.25" customHeight="1" x14ac:dyDescent="0.35"/>
    <row r="183" ht="14.25" customHeight="1" x14ac:dyDescent="0.35"/>
    <row r="184" ht="14.25" customHeight="1" x14ac:dyDescent="0.35"/>
    <row r="185" ht="14.25" customHeight="1" x14ac:dyDescent="0.35"/>
    <row r="186" ht="14.25" customHeight="1" x14ac:dyDescent="0.35"/>
    <row r="187" ht="14.25" customHeight="1" x14ac:dyDescent="0.35"/>
    <row r="188" ht="14.25" customHeight="1" x14ac:dyDescent="0.35"/>
    <row r="189" ht="14.25" customHeight="1" x14ac:dyDescent="0.35"/>
    <row r="190" ht="14.25" customHeight="1" x14ac:dyDescent="0.35"/>
    <row r="191" ht="14.25" customHeight="1" x14ac:dyDescent="0.35"/>
    <row r="192" ht="14.25" customHeight="1" x14ac:dyDescent="0.35"/>
    <row r="193" ht="14.25" customHeight="1" x14ac:dyDescent="0.35"/>
    <row r="194" ht="14.25" customHeight="1" x14ac:dyDescent="0.35"/>
    <row r="195" ht="14.25" customHeight="1" x14ac:dyDescent="0.35"/>
    <row r="196" ht="14.25" customHeight="1" x14ac:dyDescent="0.35"/>
    <row r="197" ht="14.25" customHeight="1" x14ac:dyDescent="0.35"/>
    <row r="198" ht="14.25" customHeight="1" x14ac:dyDescent="0.35"/>
    <row r="199" ht="14.25" customHeight="1" x14ac:dyDescent="0.35"/>
    <row r="200" ht="14.25" customHeight="1" x14ac:dyDescent="0.35"/>
    <row r="201" ht="14.25" customHeight="1" x14ac:dyDescent="0.35"/>
    <row r="202" ht="14.25" customHeight="1" x14ac:dyDescent="0.35"/>
    <row r="203" ht="14.25" customHeight="1" x14ac:dyDescent="0.35"/>
    <row r="204" ht="14.25" customHeight="1" x14ac:dyDescent="0.35"/>
    <row r="205" ht="14.25" customHeight="1" x14ac:dyDescent="0.35"/>
    <row r="206" ht="14.25" customHeight="1" x14ac:dyDescent="0.35"/>
    <row r="207" ht="14.25" customHeight="1" x14ac:dyDescent="0.35"/>
    <row r="208" ht="14.25" customHeight="1" x14ac:dyDescent="0.35"/>
    <row r="209" ht="14.25" customHeight="1" x14ac:dyDescent="0.35"/>
    <row r="210" ht="14.25" customHeight="1" x14ac:dyDescent="0.35"/>
    <row r="211" ht="14.25" customHeight="1" x14ac:dyDescent="0.35"/>
    <row r="212" ht="14.25" customHeight="1" x14ac:dyDescent="0.35"/>
    <row r="213" ht="14.25" customHeight="1" x14ac:dyDescent="0.35"/>
    <row r="214" ht="14.25" customHeight="1" x14ac:dyDescent="0.35"/>
    <row r="215" ht="14.25" customHeight="1" x14ac:dyDescent="0.35"/>
    <row r="216" ht="14.25" customHeight="1" x14ac:dyDescent="0.35"/>
    <row r="217" ht="14.25" customHeight="1" x14ac:dyDescent="0.35"/>
    <row r="218" ht="14.25" customHeight="1" x14ac:dyDescent="0.35"/>
    <row r="219" ht="14.25" customHeight="1" x14ac:dyDescent="0.35"/>
    <row r="220" ht="14.25" customHeight="1" x14ac:dyDescent="0.35"/>
    <row r="221" ht="14.25" customHeight="1" x14ac:dyDescent="0.35"/>
    <row r="222" ht="14.25" customHeight="1" x14ac:dyDescent="0.35"/>
    <row r="223" ht="14.25" customHeight="1" x14ac:dyDescent="0.35"/>
    <row r="224" ht="14.25" customHeight="1" x14ac:dyDescent="0.35"/>
    <row r="225" ht="14.25" customHeight="1" x14ac:dyDescent="0.35"/>
    <row r="226" ht="14.25" customHeight="1" x14ac:dyDescent="0.35"/>
    <row r="227" ht="14.25" customHeight="1" x14ac:dyDescent="0.35"/>
    <row r="228" ht="14.25" customHeight="1" x14ac:dyDescent="0.35"/>
    <row r="229" ht="14.25" customHeight="1" x14ac:dyDescent="0.35"/>
    <row r="230" ht="14.25" customHeight="1" x14ac:dyDescent="0.35"/>
    <row r="231" ht="14.25" customHeight="1" x14ac:dyDescent="0.35"/>
    <row r="232" ht="14.25" customHeight="1" x14ac:dyDescent="0.35"/>
    <row r="233" ht="14.25" customHeight="1" x14ac:dyDescent="0.35"/>
    <row r="234" ht="14.25" customHeight="1" x14ac:dyDescent="0.35"/>
    <row r="235" ht="14.25" customHeight="1" x14ac:dyDescent="0.35"/>
    <row r="236" ht="14.25" customHeight="1" x14ac:dyDescent="0.35"/>
    <row r="237" ht="14.25" customHeight="1" x14ac:dyDescent="0.35"/>
    <row r="238" ht="14.25" customHeight="1" x14ac:dyDescent="0.35"/>
    <row r="239" ht="14.25" customHeight="1" x14ac:dyDescent="0.35"/>
    <row r="240" ht="14.25" customHeight="1" x14ac:dyDescent="0.35"/>
    <row r="241" ht="14.25" customHeight="1" x14ac:dyDescent="0.35"/>
    <row r="242" ht="14.25" customHeight="1" x14ac:dyDescent="0.35"/>
    <row r="243" ht="14.25" customHeight="1" x14ac:dyDescent="0.35"/>
    <row r="244" ht="14.25" customHeight="1" x14ac:dyDescent="0.35"/>
    <row r="245" ht="14.25" customHeight="1" x14ac:dyDescent="0.35"/>
    <row r="246" ht="14.25" customHeight="1" x14ac:dyDescent="0.35"/>
    <row r="247" ht="14.25" customHeight="1" x14ac:dyDescent="0.35"/>
    <row r="248" ht="14.25" customHeight="1" x14ac:dyDescent="0.35"/>
    <row r="249" ht="14.25" customHeight="1" x14ac:dyDescent="0.35"/>
    <row r="250" ht="14.25" customHeight="1" x14ac:dyDescent="0.35"/>
    <row r="251" ht="14.25" customHeight="1" x14ac:dyDescent="0.35"/>
    <row r="252" ht="14.25" customHeight="1" x14ac:dyDescent="0.35"/>
    <row r="253" ht="14.25" customHeight="1" x14ac:dyDescent="0.35"/>
    <row r="254" ht="14.25" customHeight="1" x14ac:dyDescent="0.35"/>
    <row r="255" ht="14.25" customHeight="1" x14ac:dyDescent="0.35"/>
    <row r="256" ht="14.25" customHeight="1" x14ac:dyDescent="0.35"/>
    <row r="257" ht="14.25" customHeight="1" x14ac:dyDescent="0.35"/>
    <row r="258" ht="14.25" customHeight="1" x14ac:dyDescent="0.35"/>
    <row r="259" ht="14.25" customHeight="1" x14ac:dyDescent="0.35"/>
    <row r="260" ht="14.25" customHeight="1" x14ac:dyDescent="0.35"/>
    <row r="261" ht="14.25" customHeight="1" x14ac:dyDescent="0.35"/>
    <row r="262" ht="14.25" customHeight="1" x14ac:dyDescent="0.35"/>
    <row r="263" ht="14.25" customHeight="1" x14ac:dyDescent="0.35"/>
    <row r="264" ht="14.25" customHeight="1" x14ac:dyDescent="0.35"/>
    <row r="265" ht="14.25" customHeight="1" x14ac:dyDescent="0.35"/>
    <row r="266" ht="14.25" customHeight="1" x14ac:dyDescent="0.35"/>
    <row r="267" ht="14.25" customHeight="1" x14ac:dyDescent="0.35"/>
    <row r="268" ht="14.25" customHeight="1" x14ac:dyDescent="0.35"/>
    <row r="269" ht="14.25" customHeight="1" x14ac:dyDescent="0.35"/>
    <row r="270" ht="14.25" customHeight="1" x14ac:dyDescent="0.35"/>
    <row r="271" ht="14.25" customHeight="1" x14ac:dyDescent="0.35"/>
    <row r="272" ht="14.25" customHeight="1" x14ac:dyDescent="0.35"/>
    <row r="273" ht="14.25" customHeight="1" x14ac:dyDescent="0.35"/>
    <row r="274" ht="14.25" customHeight="1" x14ac:dyDescent="0.35"/>
    <row r="275" ht="14.25" customHeight="1" x14ac:dyDescent="0.35"/>
    <row r="276" ht="14.25" customHeight="1" x14ac:dyDescent="0.35"/>
    <row r="277" ht="14.25" customHeight="1" x14ac:dyDescent="0.35"/>
    <row r="278" ht="14.25" customHeight="1" x14ac:dyDescent="0.35"/>
    <row r="279" ht="14.25" customHeight="1" x14ac:dyDescent="0.35"/>
    <row r="280" ht="14.25" customHeight="1" x14ac:dyDescent="0.35"/>
    <row r="281" ht="14.25" customHeight="1" x14ac:dyDescent="0.35"/>
    <row r="282" ht="14.25" customHeight="1" x14ac:dyDescent="0.35"/>
    <row r="283" ht="14.25" customHeight="1" x14ac:dyDescent="0.35"/>
    <row r="284" ht="14.25" customHeight="1" x14ac:dyDescent="0.35"/>
    <row r="285" ht="14.25" customHeight="1" x14ac:dyDescent="0.35"/>
    <row r="286" ht="14.25" customHeight="1" x14ac:dyDescent="0.35"/>
    <row r="287" ht="14.25" customHeight="1" x14ac:dyDescent="0.35"/>
    <row r="288" ht="14.25" customHeight="1" x14ac:dyDescent="0.35"/>
    <row r="289" ht="14.25" customHeight="1" x14ac:dyDescent="0.35"/>
    <row r="290" ht="14.25" customHeight="1" x14ac:dyDescent="0.35"/>
    <row r="291" ht="14.25" customHeight="1" x14ac:dyDescent="0.35"/>
    <row r="292" ht="14.25" customHeight="1" x14ac:dyDescent="0.35"/>
    <row r="293" ht="14.25" customHeight="1" x14ac:dyDescent="0.35"/>
    <row r="294" ht="14.25" customHeight="1" x14ac:dyDescent="0.35"/>
    <row r="295" ht="14.25" customHeight="1" x14ac:dyDescent="0.35"/>
    <row r="296" ht="14.25" customHeight="1" x14ac:dyDescent="0.35"/>
    <row r="297" ht="14.25" customHeight="1" x14ac:dyDescent="0.35"/>
    <row r="298" ht="14.25" customHeight="1" x14ac:dyDescent="0.35"/>
    <row r="299" ht="14.25" customHeight="1" x14ac:dyDescent="0.35"/>
    <row r="300" ht="14.25" customHeight="1" x14ac:dyDescent="0.35"/>
    <row r="301" ht="14.25" customHeight="1" x14ac:dyDescent="0.35"/>
    <row r="302" ht="14.25" customHeight="1" x14ac:dyDescent="0.35"/>
    <row r="303" ht="14.25" customHeight="1" x14ac:dyDescent="0.35"/>
    <row r="304" ht="14.25" customHeight="1" x14ac:dyDescent="0.35"/>
    <row r="305" ht="14.25" customHeight="1" x14ac:dyDescent="0.35"/>
    <row r="306" ht="14.25" customHeight="1" x14ac:dyDescent="0.35"/>
    <row r="307" ht="14.25" customHeight="1" x14ac:dyDescent="0.35"/>
    <row r="308" ht="14.25" customHeight="1" x14ac:dyDescent="0.35"/>
    <row r="309" ht="14.25" customHeight="1" x14ac:dyDescent="0.35"/>
    <row r="310" ht="14.25" customHeight="1" x14ac:dyDescent="0.35"/>
    <row r="311" ht="14.25" customHeight="1" x14ac:dyDescent="0.35"/>
    <row r="312" ht="14.25" customHeight="1" x14ac:dyDescent="0.35"/>
    <row r="313" ht="14.25" customHeight="1" x14ac:dyDescent="0.35"/>
    <row r="314" ht="14.25" customHeight="1" x14ac:dyDescent="0.35"/>
    <row r="315" ht="14.25" customHeight="1" x14ac:dyDescent="0.35"/>
    <row r="316" ht="14.25" customHeight="1" x14ac:dyDescent="0.35"/>
    <row r="317" ht="14.25" customHeight="1" x14ac:dyDescent="0.35"/>
    <row r="318" ht="14.25" customHeight="1" x14ac:dyDescent="0.35"/>
    <row r="319" ht="14.25" customHeight="1" x14ac:dyDescent="0.35"/>
    <row r="320" ht="14.25" customHeight="1" x14ac:dyDescent="0.35"/>
    <row r="321" ht="14.25" customHeight="1" x14ac:dyDescent="0.35"/>
    <row r="322" ht="14.25" customHeight="1" x14ac:dyDescent="0.35"/>
    <row r="323" ht="14.25" customHeight="1" x14ac:dyDescent="0.35"/>
    <row r="324" ht="14.25" customHeight="1" x14ac:dyDescent="0.35"/>
    <row r="325" ht="14.25" customHeight="1" x14ac:dyDescent="0.35"/>
    <row r="326" ht="14.25" customHeight="1" x14ac:dyDescent="0.35"/>
    <row r="327" ht="14.25" customHeight="1" x14ac:dyDescent="0.35"/>
    <row r="328" ht="14.25" customHeight="1" x14ac:dyDescent="0.35"/>
    <row r="329" ht="14.25" customHeight="1" x14ac:dyDescent="0.35"/>
    <row r="330" ht="14.25" customHeight="1" x14ac:dyDescent="0.35"/>
    <row r="331" ht="14.25" customHeight="1" x14ac:dyDescent="0.35"/>
    <row r="332" ht="14.25" customHeight="1" x14ac:dyDescent="0.35"/>
    <row r="333" ht="14.25" customHeight="1" x14ac:dyDescent="0.35"/>
    <row r="334" ht="14.25" customHeight="1" x14ac:dyDescent="0.35"/>
    <row r="335" ht="14.25" customHeight="1" x14ac:dyDescent="0.35"/>
    <row r="336" ht="14.25" customHeight="1" x14ac:dyDescent="0.35"/>
    <row r="337" ht="14.25" customHeight="1" x14ac:dyDescent="0.35"/>
    <row r="338" ht="14.25" customHeight="1" x14ac:dyDescent="0.35"/>
    <row r="339" ht="14.25" customHeight="1" x14ac:dyDescent="0.35"/>
    <row r="340" ht="14.25" customHeight="1" x14ac:dyDescent="0.35"/>
    <row r="341" ht="14.25" customHeight="1" x14ac:dyDescent="0.35"/>
    <row r="342" ht="14.25" customHeight="1" x14ac:dyDescent="0.35"/>
    <row r="343" ht="14.25" customHeight="1" x14ac:dyDescent="0.35"/>
    <row r="344" ht="14.25" customHeight="1" x14ac:dyDescent="0.35"/>
    <row r="345" ht="14.25" customHeight="1" x14ac:dyDescent="0.35"/>
    <row r="346" ht="14.25" customHeight="1" x14ac:dyDescent="0.35"/>
    <row r="347" ht="14.25" customHeight="1" x14ac:dyDescent="0.35"/>
    <row r="348" ht="14.25" customHeight="1" x14ac:dyDescent="0.35"/>
    <row r="349" ht="14.25" customHeight="1" x14ac:dyDescent="0.35"/>
    <row r="350" ht="14.25" customHeight="1" x14ac:dyDescent="0.35"/>
    <row r="351" ht="14.25" customHeight="1" x14ac:dyDescent="0.35"/>
    <row r="352" ht="14.25" customHeight="1" x14ac:dyDescent="0.35"/>
    <row r="353" ht="14.25" customHeight="1" x14ac:dyDescent="0.35"/>
    <row r="354" ht="14.25" customHeight="1" x14ac:dyDescent="0.35"/>
    <row r="355" ht="14.25" customHeight="1" x14ac:dyDescent="0.35"/>
    <row r="356" ht="14.25" customHeight="1" x14ac:dyDescent="0.35"/>
    <row r="357" ht="14.25" customHeight="1" x14ac:dyDescent="0.35"/>
    <row r="358" ht="14.25" customHeight="1" x14ac:dyDescent="0.35"/>
    <row r="359" ht="14.25" customHeight="1" x14ac:dyDescent="0.35"/>
    <row r="360" ht="14.25" customHeight="1" x14ac:dyDescent="0.35"/>
    <row r="361" ht="14.25" customHeight="1" x14ac:dyDescent="0.35"/>
    <row r="362" ht="14.25" customHeight="1" x14ac:dyDescent="0.35"/>
    <row r="363" ht="14.25" customHeight="1" x14ac:dyDescent="0.35"/>
    <row r="364" ht="14.25" customHeight="1" x14ac:dyDescent="0.35"/>
    <row r="365" ht="14.25" customHeight="1" x14ac:dyDescent="0.35"/>
    <row r="366" ht="14.25" customHeight="1" x14ac:dyDescent="0.35"/>
    <row r="367" ht="14.25" customHeight="1" x14ac:dyDescent="0.35"/>
    <row r="368" ht="14.25" customHeight="1" x14ac:dyDescent="0.35"/>
    <row r="369" ht="14.25" customHeight="1" x14ac:dyDescent="0.35"/>
    <row r="370" ht="14.25" customHeight="1" x14ac:dyDescent="0.35"/>
    <row r="371" ht="14.25" customHeight="1" x14ac:dyDescent="0.35"/>
    <row r="372" ht="14.25" customHeight="1" x14ac:dyDescent="0.35"/>
    <row r="373" ht="14.25" customHeight="1" x14ac:dyDescent="0.35"/>
    <row r="374" ht="14.25" customHeight="1" x14ac:dyDescent="0.35"/>
    <row r="375" ht="14.25" customHeight="1" x14ac:dyDescent="0.35"/>
    <row r="376" ht="14.25" customHeight="1" x14ac:dyDescent="0.35"/>
    <row r="377" ht="14.25" customHeight="1" x14ac:dyDescent="0.35"/>
    <row r="378" ht="14.25" customHeight="1" x14ac:dyDescent="0.35"/>
    <row r="379" ht="14.25" customHeight="1" x14ac:dyDescent="0.35"/>
    <row r="380" ht="14.25" customHeight="1" x14ac:dyDescent="0.35"/>
    <row r="381" ht="14.25" customHeight="1" x14ac:dyDescent="0.35"/>
    <row r="382" ht="14.25" customHeight="1" x14ac:dyDescent="0.35"/>
    <row r="383" ht="14.25" customHeight="1" x14ac:dyDescent="0.35"/>
    <row r="384" ht="14.25" customHeight="1" x14ac:dyDescent="0.35"/>
    <row r="385" ht="14.25" customHeight="1" x14ac:dyDescent="0.35"/>
    <row r="386" ht="14.25" customHeight="1" x14ac:dyDescent="0.35"/>
    <row r="387" ht="14.25" customHeight="1" x14ac:dyDescent="0.35"/>
    <row r="388" ht="14.25" customHeight="1" x14ac:dyDescent="0.35"/>
    <row r="389" ht="14.25" customHeight="1" x14ac:dyDescent="0.35"/>
    <row r="390" ht="14.25" customHeight="1" x14ac:dyDescent="0.35"/>
    <row r="391" ht="14.25" customHeight="1" x14ac:dyDescent="0.35"/>
    <row r="392" ht="14.25" customHeight="1" x14ac:dyDescent="0.35"/>
    <row r="393" ht="14.25" customHeight="1" x14ac:dyDescent="0.35"/>
    <row r="394" ht="14.25" customHeight="1" x14ac:dyDescent="0.35"/>
    <row r="395" ht="14.25" customHeight="1" x14ac:dyDescent="0.35"/>
    <row r="396" ht="14.25" customHeight="1" x14ac:dyDescent="0.35"/>
    <row r="397" ht="14.25" customHeight="1" x14ac:dyDescent="0.35"/>
    <row r="398" ht="14.25" customHeight="1" x14ac:dyDescent="0.35"/>
    <row r="399" ht="14.25" customHeight="1" x14ac:dyDescent="0.35"/>
    <row r="400" ht="14.25" customHeight="1" x14ac:dyDescent="0.35"/>
    <row r="401" ht="14.25" customHeight="1" x14ac:dyDescent="0.35"/>
    <row r="402" ht="14.25" customHeight="1" x14ac:dyDescent="0.35"/>
    <row r="403" ht="14.25" customHeight="1" x14ac:dyDescent="0.35"/>
    <row r="404" ht="14.25" customHeight="1" x14ac:dyDescent="0.35"/>
    <row r="405" ht="14.25" customHeight="1" x14ac:dyDescent="0.35"/>
    <row r="406" ht="14.25" customHeight="1" x14ac:dyDescent="0.35"/>
    <row r="407" ht="14.25" customHeight="1" x14ac:dyDescent="0.35"/>
    <row r="408" ht="14.25" customHeight="1" x14ac:dyDescent="0.35"/>
    <row r="409" ht="14.25" customHeight="1" x14ac:dyDescent="0.35"/>
    <row r="410" ht="14.25" customHeight="1" x14ac:dyDescent="0.35"/>
    <row r="411" ht="14.25" customHeight="1" x14ac:dyDescent="0.35"/>
    <row r="412" ht="14.25" customHeight="1" x14ac:dyDescent="0.35"/>
    <row r="413" ht="14.25" customHeight="1" x14ac:dyDescent="0.35"/>
    <row r="414" ht="14.25" customHeight="1" x14ac:dyDescent="0.35"/>
    <row r="415" ht="14.25" customHeight="1" x14ac:dyDescent="0.35"/>
    <row r="416" ht="14.25" customHeight="1" x14ac:dyDescent="0.35"/>
    <row r="417" ht="14.25" customHeight="1" x14ac:dyDescent="0.35"/>
    <row r="418" ht="14.25" customHeight="1" x14ac:dyDescent="0.35"/>
    <row r="419" ht="14.25" customHeight="1" x14ac:dyDescent="0.35"/>
    <row r="420" ht="14.25" customHeight="1" x14ac:dyDescent="0.35"/>
    <row r="421" ht="14.25" customHeight="1" x14ac:dyDescent="0.35"/>
    <row r="422" ht="14.25" customHeight="1" x14ac:dyDescent="0.35"/>
    <row r="423" ht="14.25" customHeight="1" x14ac:dyDescent="0.35"/>
    <row r="424" ht="14.25" customHeight="1" x14ac:dyDescent="0.35"/>
    <row r="425" ht="14.25" customHeight="1" x14ac:dyDescent="0.35"/>
    <row r="426" ht="14.25" customHeight="1" x14ac:dyDescent="0.35"/>
    <row r="427" ht="14.25" customHeight="1" x14ac:dyDescent="0.35"/>
    <row r="428" ht="14.25" customHeight="1" x14ac:dyDescent="0.35"/>
    <row r="429" ht="14.25" customHeight="1" x14ac:dyDescent="0.35"/>
    <row r="430" ht="14.25" customHeight="1" x14ac:dyDescent="0.35"/>
    <row r="431" ht="14.25" customHeight="1" x14ac:dyDescent="0.35"/>
    <row r="432" ht="14.25" customHeight="1" x14ac:dyDescent="0.35"/>
    <row r="433" ht="14.25" customHeight="1" x14ac:dyDescent="0.35"/>
    <row r="434" ht="14.25" customHeight="1" x14ac:dyDescent="0.35"/>
    <row r="435" ht="14.25" customHeight="1" x14ac:dyDescent="0.35"/>
    <row r="436" ht="14.25" customHeight="1" x14ac:dyDescent="0.35"/>
    <row r="437" ht="14.25" customHeight="1" x14ac:dyDescent="0.35"/>
    <row r="438" ht="14.25" customHeight="1" x14ac:dyDescent="0.35"/>
    <row r="439" ht="14.25" customHeight="1" x14ac:dyDescent="0.35"/>
    <row r="440" ht="14.25" customHeight="1" x14ac:dyDescent="0.35"/>
    <row r="441" ht="14.25" customHeight="1" x14ac:dyDescent="0.35"/>
    <row r="442" ht="14.25" customHeight="1" x14ac:dyDescent="0.35"/>
    <row r="443" ht="14.25" customHeight="1" x14ac:dyDescent="0.35"/>
    <row r="444" ht="14.25" customHeight="1" x14ac:dyDescent="0.35"/>
    <row r="445" ht="14.25" customHeight="1" x14ac:dyDescent="0.35"/>
    <row r="446" ht="14.25" customHeight="1" x14ac:dyDescent="0.35"/>
    <row r="447" ht="14.25" customHeight="1" x14ac:dyDescent="0.35"/>
    <row r="448" ht="14.25" customHeight="1" x14ac:dyDescent="0.35"/>
    <row r="449" ht="14.25" customHeight="1" x14ac:dyDescent="0.35"/>
    <row r="450" ht="14.25" customHeight="1" x14ac:dyDescent="0.35"/>
    <row r="451" ht="14.25" customHeight="1" x14ac:dyDescent="0.35"/>
    <row r="452" ht="14.25" customHeight="1" x14ac:dyDescent="0.35"/>
    <row r="453" ht="14.25" customHeight="1" x14ac:dyDescent="0.35"/>
    <row r="454" ht="14.25" customHeight="1" x14ac:dyDescent="0.35"/>
    <row r="455" ht="14.25" customHeight="1" x14ac:dyDescent="0.35"/>
    <row r="456" ht="14.25" customHeight="1" x14ac:dyDescent="0.35"/>
    <row r="457" ht="14.25" customHeight="1" x14ac:dyDescent="0.35"/>
    <row r="458" ht="14.25" customHeight="1" x14ac:dyDescent="0.35"/>
    <row r="459" ht="14.25" customHeight="1" x14ac:dyDescent="0.35"/>
    <row r="460" ht="14.25" customHeight="1" x14ac:dyDescent="0.35"/>
    <row r="461" ht="14.25" customHeight="1" x14ac:dyDescent="0.35"/>
    <row r="462" ht="14.25" customHeight="1" x14ac:dyDescent="0.35"/>
    <row r="463" ht="14.25" customHeight="1" x14ac:dyDescent="0.35"/>
    <row r="464" ht="14.25" customHeight="1" x14ac:dyDescent="0.35"/>
    <row r="465" ht="14.25" customHeight="1" x14ac:dyDescent="0.35"/>
    <row r="466" ht="14.25" customHeight="1" x14ac:dyDescent="0.35"/>
    <row r="467" ht="14.25" customHeight="1" x14ac:dyDescent="0.35"/>
    <row r="468" ht="14.25" customHeight="1" x14ac:dyDescent="0.35"/>
    <row r="469" ht="14.25" customHeight="1" x14ac:dyDescent="0.35"/>
    <row r="470" ht="14.25" customHeight="1" x14ac:dyDescent="0.35"/>
    <row r="471" ht="14.25" customHeight="1" x14ac:dyDescent="0.35"/>
    <row r="472" ht="14.25" customHeight="1" x14ac:dyDescent="0.35"/>
    <row r="473" ht="14.25" customHeight="1" x14ac:dyDescent="0.35"/>
    <row r="474" ht="14.25" customHeight="1" x14ac:dyDescent="0.35"/>
    <row r="475" ht="14.25" customHeight="1" x14ac:dyDescent="0.35"/>
    <row r="476" ht="14.25" customHeight="1" x14ac:dyDescent="0.35"/>
    <row r="477" ht="14.25" customHeight="1" x14ac:dyDescent="0.35"/>
    <row r="478" ht="14.25" customHeight="1" x14ac:dyDescent="0.35"/>
    <row r="479" ht="14.25" customHeight="1" x14ac:dyDescent="0.35"/>
    <row r="480" ht="14.25" customHeight="1" x14ac:dyDescent="0.35"/>
    <row r="481" ht="14.25" customHeight="1" x14ac:dyDescent="0.35"/>
    <row r="482" ht="14.25" customHeight="1" x14ac:dyDescent="0.35"/>
    <row r="483" ht="14.25" customHeight="1" x14ac:dyDescent="0.35"/>
    <row r="484" ht="14.25" customHeight="1" x14ac:dyDescent="0.35"/>
    <row r="485" ht="14.25" customHeight="1" x14ac:dyDescent="0.35"/>
    <row r="486" ht="14.25" customHeight="1" x14ac:dyDescent="0.35"/>
    <row r="487" ht="14.25" customHeight="1" x14ac:dyDescent="0.35"/>
    <row r="488" ht="14.25" customHeight="1" x14ac:dyDescent="0.35"/>
    <row r="489" ht="14.25" customHeight="1" x14ac:dyDescent="0.35"/>
    <row r="490" ht="14.25" customHeight="1" x14ac:dyDescent="0.35"/>
    <row r="491" ht="14.25" customHeight="1" x14ac:dyDescent="0.35"/>
    <row r="492" ht="14.25" customHeight="1" x14ac:dyDescent="0.35"/>
    <row r="493" ht="14.25" customHeight="1" x14ac:dyDescent="0.35"/>
    <row r="494" ht="14.25" customHeight="1" x14ac:dyDescent="0.35"/>
    <row r="495" ht="14.25" customHeight="1" x14ac:dyDescent="0.35"/>
    <row r="496" ht="14.25" customHeight="1" x14ac:dyDescent="0.35"/>
    <row r="497" ht="14.25" customHeight="1" x14ac:dyDescent="0.35"/>
    <row r="498" ht="14.25" customHeight="1" x14ac:dyDescent="0.35"/>
    <row r="499" ht="14.25" customHeight="1" x14ac:dyDescent="0.35"/>
    <row r="500" ht="14.25" customHeight="1" x14ac:dyDescent="0.35"/>
    <row r="501" ht="14.25" customHeight="1" x14ac:dyDescent="0.35"/>
    <row r="502" ht="14.25" customHeight="1" x14ac:dyDescent="0.35"/>
    <row r="503" ht="14.25" customHeight="1" x14ac:dyDescent="0.35"/>
    <row r="504" ht="14.25" customHeight="1" x14ac:dyDescent="0.35"/>
    <row r="505" ht="14.25" customHeight="1" x14ac:dyDescent="0.35"/>
    <row r="506" ht="14.25" customHeight="1" x14ac:dyDescent="0.35"/>
    <row r="507" ht="14.25" customHeight="1" x14ac:dyDescent="0.35"/>
    <row r="508" ht="14.25" customHeight="1" x14ac:dyDescent="0.35"/>
    <row r="509" ht="14.25" customHeight="1" x14ac:dyDescent="0.35"/>
    <row r="510" ht="14.25" customHeight="1" x14ac:dyDescent="0.35"/>
    <row r="511" ht="14.25" customHeight="1" x14ac:dyDescent="0.35"/>
    <row r="512" ht="14.25" customHeight="1" x14ac:dyDescent="0.35"/>
    <row r="513" ht="14.25" customHeight="1" x14ac:dyDescent="0.35"/>
    <row r="514" ht="14.25" customHeight="1" x14ac:dyDescent="0.35"/>
    <row r="515" ht="14.25" customHeight="1" x14ac:dyDescent="0.35"/>
    <row r="516" ht="14.25" customHeight="1" x14ac:dyDescent="0.35"/>
    <row r="517" ht="14.25" customHeight="1" x14ac:dyDescent="0.35"/>
    <row r="518" ht="14.25" customHeight="1" x14ac:dyDescent="0.35"/>
    <row r="519" ht="14.25" customHeight="1" x14ac:dyDescent="0.35"/>
    <row r="520" ht="14.25" customHeight="1" x14ac:dyDescent="0.35"/>
    <row r="521" ht="14.25" customHeight="1" x14ac:dyDescent="0.35"/>
    <row r="522" ht="14.25" customHeight="1" x14ac:dyDescent="0.35"/>
    <row r="523" ht="14.25" customHeight="1" x14ac:dyDescent="0.35"/>
    <row r="524" ht="14.25" customHeight="1" x14ac:dyDescent="0.35"/>
    <row r="525" ht="14.25" customHeight="1" x14ac:dyDescent="0.35"/>
    <row r="526" ht="14.25" customHeight="1" x14ac:dyDescent="0.35"/>
    <row r="527" ht="14.25" customHeight="1" x14ac:dyDescent="0.35"/>
    <row r="528" ht="14.25" customHeight="1" x14ac:dyDescent="0.35"/>
    <row r="529" ht="14.25" customHeight="1" x14ac:dyDescent="0.35"/>
    <row r="530" ht="14.25" customHeight="1" x14ac:dyDescent="0.35"/>
    <row r="531" ht="14.25" customHeight="1" x14ac:dyDescent="0.35"/>
    <row r="532" ht="14.25" customHeight="1" x14ac:dyDescent="0.35"/>
    <row r="533" ht="14.25" customHeight="1" x14ac:dyDescent="0.35"/>
    <row r="534" ht="14.25" customHeight="1" x14ac:dyDescent="0.35"/>
    <row r="535" ht="14.25" customHeight="1" x14ac:dyDescent="0.35"/>
    <row r="536" ht="14.25" customHeight="1" x14ac:dyDescent="0.35"/>
    <row r="537" ht="14.25" customHeight="1" x14ac:dyDescent="0.35"/>
    <row r="538" ht="14.25" customHeight="1" x14ac:dyDescent="0.35"/>
    <row r="539" ht="14.25" customHeight="1" x14ac:dyDescent="0.35"/>
    <row r="540" ht="14.25" customHeight="1" x14ac:dyDescent="0.35"/>
    <row r="541" ht="14.25" customHeight="1" x14ac:dyDescent="0.35"/>
    <row r="542" ht="14.25" customHeight="1" x14ac:dyDescent="0.35"/>
    <row r="543" ht="14.25" customHeight="1" x14ac:dyDescent="0.35"/>
    <row r="544" ht="14.25" customHeight="1" x14ac:dyDescent="0.35"/>
    <row r="545" ht="14.25" customHeight="1" x14ac:dyDescent="0.35"/>
    <row r="546" ht="14.25" customHeight="1" x14ac:dyDescent="0.35"/>
    <row r="547" ht="14.25" customHeight="1" x14ac:dyDescent="0.35"/>
    <row r="548" ht="14.25" customHeight="1" x14ac:dyDescent="0.35"/>
    <row r="549" ht="14.25" customHeight="1" x14ac:dyDescent="0.35"/>
    <row r="550" ht="14.25" customHeight="1" x14ac:dyDescent="0.35"/>
    <row r="551" ht="14.25" customHeight="1" x14ac:dyDescent="0.35"/>
    <row r="552" ht="14.25" customHeight="1" x14ac:dyDescent="0.35"/>
    <row r="553" ht="14.25" customHeight="1" x14ac:dyDescent="0.35"/>
    <row r="554" ht="14.25" customHeight="1" x14ac:dyDescent="0.35"/>
    <row r="555" ht="14.25" customHeight="1" x14ac:dyDescent="0.35"/>
    <row r="556" ht="14.25" customHeight="1" x14ac:dyDescent="0.35"/>
    <row r="557" ht="14.25" customHeight="1" x14ac:dyDescent="0.35"/>
    <row r="558" ht="14.25" customHeight="1" x14ac:dyDescent="0.35"/>
    <row r="559" ht="14.25" customHeight="1" x14ac:dyDescent="0.35"/>
    <row r="560" ht="14.25" customHeight="1" x14ac:dyDescent="0.35"/>
    <row r="561" ht="14.25" customHeight="1" x14ac:dyDescent="0.35"/>
    <row r="562" ht="14.25" customHeight="1" x14ac:dyDescent="0.35"/>
    <row r="563" ht="14.25" customHeight="1" x14ac:dyDescent="0.35"/>
    <row r="564" ht="14.25" customHeight="1" x14ac:dyDescent="0.35"/>
    <row r="565" ht="14.25" customHeight="1" x14ac:dyDescent="0.35"/>
    <row r="566" ht="14.25" customHeight="1" x14ac:dyDescent="0.35"/>
    <row r="567" ht="14.25" customHeight="1" x14ac:dyDescent="0.35"/>
    <row r="568" ht="14.25" customHeight="1" x14ac:dyDescent="0.35"/>
    <row r="569" ht="14.25" customHeight="1" x14ac:dyDescent="0.35"/>
    <row r="570" ht="14.25" customHeight="1" x14ac:dyDescent="0.35"/>
    <row r="571" ht="14.25" customHeight="1" x14ac:dyDescent="0.35"/>
    <row r="572" ht="14.25" customHeight="1" x14ac:dyDescent="0.35"/>
    <row r="573" ht="14.25" customHeight="1" x14ac:dyDescent="0.35"/>
    <row r="574" ht="14.25" customHeight="1" x14ac:dyDescent="0.35"/>
    <row r="575" ht="14.25" customHeight="1" x14ac:dyDescent="0.35"/>
    <row r="576" ht="14.25" customHeight="1" x14ac:dyDescent="0.35"/>
    <row r="577" ht="14.25" customHeight="1" x14ac:dyDescent="0.35"/>
    <row r="578" ht="14.25" customHeight="1" x14ac:dyDescent="0.35"/>
    <row r="579" ht="14.25" customHeight="1" x14ac:dyDescent="0.35"/>
    <row r="580" ht="14.25" customHeight="1" x14ac:dyDescent="0.35"/>
    <row r="581" ht="14.25" customHeight="1" x14ac:dyDescent="0.35"/>
    <row r="582" ht="14.25" customHeight="1" x14ac:dyDescent="0.35"/>
    <row r="583" ht="14.25" customHeight="1" x14ac:dyDescent="0.35"/>
    <row r="584" ht="14.25" customHeight="1" x14ac:dyDescent="0.35"/>
    <row r="585" ht="14.25" customHeight="1" x14ac:dyDescent="0.35"/>
    <row r="586" ht="14.25" customHeight="1" x14ac:dyDescent="0.35"/>
    <row r="587" ht="14.25" customHeight="1" x14ac:dyDescent="0.35"/>
    <row r="588" ht="14.25" customHeight="1" x14ac:dyDescent="0.35"/>
    <row r="589" ht="14.25" customHeight="1" x14ac:dyDescent="0.35"/>
    <row r="590" ht="14.25" customHeight="1" x14ac:dyDescent="0.35"/>
    <row r="591" ht="14.25" customHeight="1" x14ac:dyDescent="0.35"/>
    <row r="592" ht="14.25" customHeight="1" x14ac:dyDescent="0.35"/>
    <row r="593" ht="14.25" customHeight="1" x14ac:dyDescent="0.35"/>
    <row r="594" ht="14.25" customHeight="1" x14ac:dyDescent="0.35"/>
    <row r="595" ht="14.25" customHeight="1" x14ac:dyDescent="0.35"/>
    <row r="596" ht="14.25" customHeight="1" x14ac:dyDescent="0.35"/>
    <row r="597" ht="14.25" customHeight="1" x14ac:dyDescent="0.35"/>
    <row r="598" ht="14.25" customHeight="1" x14ac:dyDescent="0.35"/>
    <row r="599" ht="14.25" customHeight="1" x14ac:dyDescent="0.35"/>
    <row r="600" ht="14.25" customHeight="1" x14ac:dyDescent="0.35"/>
    <row r="601" ht="14.25" customHeight="1" x14ac:dyDescent="0.35"/>
    <row r="602" ht="14.25" customHeight="1" x14ac:dyDescent="0.35"/>
    <row r="603" ht="14.25" customHeight="1" x14ac:dyDescent="0.35"/>
    <row r="604" ht="14.25" customHeight="1" x14ac:dyDescent="0.35"/>
    <row r="605" ht="14.25" customHeight="1" x14ac:dyDescent="0.35"/>
    <row r="606" ht="14.25" customHeight="1" x14ac:dyDescent="0.35"/>
    <row r="607" ht="14.25" customHeight="1" x14ac:dyDescent="0.35"/>
    <row r="608" ht="14.25" customHeight="1" x14ac:dyDescent="0.35"/>
    <row r="609" ht="14.25" customHeight="1" x14ac:dyDescent="0.35"/>
    <row r="610" ht="14.25" customHeight="1" x14ac:dyDescent="0.35"/>
    <row r="611" ht="14.25" customHeight="1" x14ac:dyDescent="0.35"/>
    <row r="612" ht="14.25" customHeight="1" x14ac:dyDescent="0.35"/>
    <row r="613" ht="14.25" customHeight="1" x14ac:dyDescent="0.35"/>
    <row r="614" ht="14.25" customHeight="1" x14ac:dyDescent="0.35"/>
    <row r="615" ht="14.25" customHeight="1" x14ac:dyDescent="0.35"/>
    <row r="616" ht="14.25" customHeight="1" x14ac:dyDescent="0.35"/>
    <row r="617" ht="14.25" customHeight="1" x14ac:dyDescent="0.35"/>
    <row r="618" ht="14.25" customHeight="1" x14ac:dyDescent="0.35"/>
    <row r="619" ht="14.25" customHeight="1" x14ac:dyDescent="0.35"/>
    <row r="620" ht="14.25" customHeight="1" x14ac:dyDescent="0.35"/>
    <row r="621" ht="14.25" customHeight="1" x14ac:dyDescent="0.35"/>
    <row r="622" ht="14.25" customHeight="1" x14ac:dyDescent="0.35"/>
    <row r="623" ht="14.25" customHeight="1" x14ac:dyDescent="0.35"/>
    <row r="624" ht="14.25" customHeight="1" x14ac:dyDescent="0.35"/>
    <row r="625" ht="14.25" customHeight="1" x14ac:dyDescent="0.35"/>
    <row r="626" ht="14.25" customHeight="1" x14ac:dyDescent="0.35"/>
    <row r="627" ht="14.25" customHeight="1" x14ac:dyDescent="0.35"/>
    <row r="628" ht="14.25" customHeight="1" x14ac:dyDescent="0.35"/>
    <row r="629" ht="14.25" customHeight="1" x14ac:dyDescent="0.35"/>
    <row r="630" ht="14.25" customHeight="1" x14ac:dyDescent="0.35"/>
    <row r="631" ht="14.25" customHeight="1" x14ac:dyDescent="0.35"/>
    <row r="632" ht="14.25" customHeight="1" x14ac:dyDescent="0.35"/>
    <row r="633" ht="14.25" customHeight="1" x14ac:dyDescent="0.35"/>
    <row r="634" ht="14.25" customHeight="1" x14ac:dyDescent="0.35"/>
    <row r="635" ht="14.25" customHeight="1" x14ac:dyDescent="0.35"/>
    <row r="636" ht="14.25" customHeight="1" x14ac:dyDescent="0.35"/>
    <row r="637" ht="14.25" customHeight="1" x14ac:dyDescent="0.35"/>
    <row r="638" ht="14.25" customHeight="1" x14ac:dyDescent="0.35"/>
    <row r="639" ht="14.25" customHeight="1" x14ac:dyDescent="0.35"/>
    <row r="640" ht="14.25" customHeight="1" x14ac:dyDescent="0.35"/>
    <row r="641" ht="14.25" customHeight="1" x14ac:dyDescent="0.35"/>
    <row r="642" ht="14.25" customHeight="1" x14ac:dyDescent="0.35"/>
    <row r="643" ht="14.25" customHeight="1" x14ac:dyDescent="0.35"/>
    <row r="644" ht="14.25" customHeight="1" x14ac:dyDescent="0.35"/>
    <row r="645" ht="14.25" customHeight="1" x14ac:dyDescent="0.35"/>
    <row r="646" ht="14.25" customHeight="1" x14ac:dyDescent="0.35"/>
    <row r="647" ht="14.25" customHeight="1" x14ac:dyDescent="0.35"/>
    <row r="648" ht="14.25" customHeight="1" x14ac:dyDescent="0.35"/>
    <row r="649" ht="14.25" customHeight="1" x14ac:dyDescent="0.35"/>
    <row r="650" ht="14.25" customHeight="1" x14ac:dyDescent="0.35"/>
    <row r="651" ht="14.25" customHeight="1" x14ac:dyDescent="0.35"/>
    <row r="652" ht="14.25" customHeight="1" x14ac:dyDescent="0.35"/>
    <row r="653" ht="14.25" customHeight="1" x14ac:dyDescent="0.35"/>
    <row r="654" ht="14.25" customHeight="1" x14ac:dyDescent="0.35"/>
    <row r="655" ht="14.25" customHeight="1" x14ac:dyDescent="0.35"/>
    <row r="656" ht="14.25" customHeight="1" x14ac:dyDescent="0.35"/>
    <row r="657" ht="14.25" customHeight="1" x14ac:dyDescent="0.35"/>
    <row r="658" ht="14.25" customHeight="1" x14ac:dyDescent="0.35"/>
    <row r="659" ht="14.25" customHeight="1" x14ac:dyDescent="0.35"/>
    <row r="660" ht="14.25" customHeight="1" x14ac:dyDescent="0.35"/>
    <row r="661" ht="14.25" customHeight="1" x14ac:dyDescent="0.35"/>
    <row r="662" ht="14.25" customHeight="1" x14ac:dyDescent="0.35"/>
    <row r="663" ht="14.25" customHeight="1" x14ac:dyDescent="0.35"/>
    <row r="664" ht="14.25" customHeight="1" x14ac:dyDescent="0.35"/>
    <row r="665" ht="14.25" customHeight="1" x14ac:dyDescent="0.35"/>
    <row r="666" ht="14.25" customHeight="1" x14ac:dyDescent="0.35"/>
    <row r="667" ht="14.25" customHeight="1" x14ac:dyDescent="0.35"/>
    <row r="668" ht="14.25" customHeight="1" x14ac:dyDescent="0.35"/>
    <row r="669" ht="14.25" customHeight="1" x14ac:dyDescent="0.35"/>
    <row r="670" ht="14.25" customHeight="1" x14ac:dyDescent="0.35"/>
    <row r="671" ht="14.25" customHeight="1" x14ac:dyDescent="0.35"/>
    <row r="672" ht="14.25" customHeight="1" x14ac:dyDescent="0.35"/>
    <row r="673" ht="14.25" customHeight="1" x14ac:dyDescent="0.35"/>
    <row r="674" ht="14.25" customHeight="1" x14ac:dyDescent="0.35"/>
    <row r="675" ht="14.25" customHeight="1" x14ac:dyDescent="0.35"/>
    <row r="676" ht="14.25" customHeight="1" x14ac:dyDescent="0.35"/>
    <row r="677" ht="14.25" customHeight="1" x14ac:dyDescent="0.35"/>
    <row r="678" ht="14.25" customHeight="1" x14ac:dyDescent="0.35"/>
    <row r="679" ht="14.25" customHeight="1" x14ac:dyDescent="0.35"/>
    <row r="680" ht="14.25" customHeight="1" x14ac:dyDescent="0.35"/>
    <row r="681" ht="14.25" customHeight="1" x14ac:dyDescent="0.35"/>
    <row r="682" ht="14.25" customHeight="1" x14ac:dyDescent="0.35"/>
    <row r="683" ht="14.25" customHeight="1" x14ac:dyDescent="0.35"/>
    <row r="684" ht="14.25" customHeight="1" x14ac:dyDescent="0.35"/>
    <row r="685" ht="14.25" customHeight="1" x14ac:dyDescent="0.35"/>
    <row r="686" ht="14.25" customHeight="1" x14ac:dyDescent="0.35"/>
    <row r="687" ht="14.25" customHeight="1" x14ac:dyDescent="0.35"/>
    <row r="688" ht="14.25" customHeight="1" x14ac:dyDescent="0.35"/>
    <row r="689" ht="14.25" customHeight="1" x14ac:dyDescent="0.35"/>
    <row r="690" ht="14.25" customHeight="1" x14ac:dyDescent="0.35"/>
    <row r="691" ht="14.25" customHeight="1" x14ac:dyDescent="0.35"/>
    <row r="692" ht="14.25" customHeight="1" x14ac:dyDescent="0.35"/>
    <row r="693" ht="14.25" customHeight="1" x14ac:dyDescent="0.35"/>
    <row r="694" ht="14.25" customHeight="1" x14ac:dyDescent="0.35"/>
    <row r="695" ht="14.25" customHeight="1" x14ac:dyDescent="0.35"/>
    <row r="696" ht="14.25" customHeight="1" x14ac:dyDescent="0.35"/>
    <row r="697" ht="14.25" customHeight="1" x14ac:dyDescent="0.35"/>
    <row r="698" ht="14.25" customHeight="1" x14ac:dyDescent="0.35"/>
    <row r="699" ht="14.25" customHeight="1" x14ac:dyDescent="0.35"/>
    <row r="700" ht="14.25" customHeight="1" x14ac:dyDescent="0.35"/>
    <row r="701" ht="14.25" customHeight="1" x14ac:dyDescent="0.35"/>
    <row r="702" ht="14.25" customHeight="1" x14ac:dyDescent="0.35"/>
    <row r="703" ht="14.25" customHeight="1" x14ac:dyDescent="0.35"/>
    <row r="704" ht="14.25" customHeight="1" x14ac:dyDescent="0.35"/>
    <row r="705" ht="14.25" customHeight="1" x14ac:dyDescent="0.35"/>
    <row r="706" ht="14.25" customHeight="1" x14ac:dyDescent="0.35"/>
    <row r="707" ht="14.25" customHeight="1" x14ac:dyDescent="0.35"/>
    <row r="708" ht="14.25" customHeight="1" x14ac:dyDescent="0.35"/>
    <row r="709" ht="14.25" customHeight="1" x14ac:dyDescent="0.35"/>
    <row r="710" ht="14.25" customHeight="1" x14ac:dyDescent="0.35"/>
    <row r="711" ht="14.25" customHeight="1" x14ac:dyDescent="0.35"/>
    <row r="712" ht="14.25" customHeight="1" x14ac:dyDescent="0.35"/>
    <row r="713" ht="14.25" customHeight="1" x14ac:dyDescent="0.35"/>
    <row r="714" ht="14.25" customHeight="1" x14ac:dyDescent="0.35"/>
    <row r="715" ht="14.25" customHeight="1" x14ac:dyDescent="0.35"/>
    <row r="716" ht="14.25" customHeight="1" x14ac:dyDescent="0.35"/>
    <row r="717" ht="14.25" customHeight="1" x14ac:dyDescent="0.35"/>
    <row r="718" ht="14.25" customHeight="1" x14ac:dyDescent="0.35"/>
    <row r="719" ht="14.25" customHeight="1" x14ac:dyDescent="0.35"/>
    <row r="720" ht="14.25" customHeight="1" x14ac:dyDescent="0.35"/>
    <row r="721" ht="14.25" customHeight="1" x14ac:dyDescent="0.35"/>
    <row r="722" ht="14.25" customHeight="1" x14ac:dyDescent="0.35"/>
    <row r="723" ht="14.25" customHeight="1" x14ac:dyDescent="0.35"/>
    <row r="724" ht="14.25" customHeight="1" x14ac:dyDescent="0.35"/>
    <row r="725" ht="14.25" customHeight="1" x14ac:dyDescent="0.35"/>
    <row r="726" ht="14.25" customHeight="1" x14ac:dyDescent="0.35"/>
    <row r="727" ht="14.25" customHeight="1" x14ac:dyDescent="0.35"/>
    <row r="728" ht="14.25" customHeight="1" x14ac:dyDescent="0.35"/>
    <row r="729" ht="14.25" customHeight="1" x14ac:dyDescent="0.35"/>
    <row r="730" ht="14.25" customHeight="1" x14ac:dyDescent="0.35"/>
    <row r="731" ht="14.25" customHeight="1" x14ac:dyDescent="0.35"/>
    <row r="732" ht="14.25" customHeight="1" x14ac:dyDescent="0.35"/>
    <row r="733" ht="14.25" customHeight="1" x14ac:dyDescent="0.35"/>
    <row r="734" ht="14.25" customHeight="1" x14ac:dyDescent="0.35"/>
    <row r="735" ht="14.25" customHeight="1" x14ac:dyDescent="0.35"/>
    <row r="736" ht="14.25" customHeight="1" x14ac:dyDescent="0.35"/>
    <row r="737" ht="14.25" customHeight="1" x14ac:dyDescent="0.35"/>
    <row r="738" ht="14.25" customHeight="1" x14ac:dyDescent="0.35"/>
    <row r="739" ht="14.25" customHeight="1" x14ac:dyDescent="0.35"/>
    <row r="740" ht="14.25" customHeight="1" x14ac:dyDescent="0.35"/>
    <row r="741" ht="14.25" customHeight="1" x14ac:dyDescent="0.35"/>
    <row r="742" ht="14.25" customHeight="1" x14ac:dyDescent="0.35"/>
    <row r="743" ht="14.25" customHeight="1" x14ac:dyDescent="0.35"/>
    <row r="744" ht="14.25" customHeight="1" x14ac:dyDescent="0.35"/>
    <row r="745" ht="14.25" customHeight="1" x14ac:dyDescent="0.35"/>
    <row r="746" ht="14.25" customHeight="1" x14ac:dyDescent="0.35"/>
    <row r="747" ht="14.25" customHeight="1" x14ac:dyDescent="0.35"/>
    <row r="748" ht="14.25" customHeight="1" x14ac:dyDescent="0.35"/>
    <row r="749" ht="14.25" customHeight="1" x14ac:dyDescent="0.35"/>
    <row r="750" ht="14.25" customHeight="1" x14ac:dyDescent="0.35"/>
    <row r="751" ht="14.25" customHeight="1" x14ac:dyDescent="0.35"/>
    <row r="752" ht="14.25" customHeight="1" x14ac:dyDescent="0.35"/>
    <row r="753" ht="14.25" customHeight="1" x14ac:dyDescent="0.35"/>
    <row r="754" ht="14.25" customHeight="1" x14ac:dyDescent="0.35"/>
    <row r="755" ht="14.25" customHeight="1" x14ac:dyDescent="0.35"/>
    <row r="756" ht="14.25" customHeight="1" x14ac:dyDescent="0.35"/>
    <row r="757" ht="14.25" customHeight="1" x14ac:dyDescent="0.35"/>
    <row r="758" ht="14.25" customHeight="1" x14ac:dyDescent="0.35"/>
    <row r="759" ht="14.25" customHeight="1" x14ac:dyDescent="0.35"/>
    <row r="760" ht="14.25" customHeight="1" x14ac:dyDescent="0.35"/>
    <row r="761" ht="14.25" customHeight="1" x14ac:dyDescent="0.35"/>
    <row r="762" ht="14.25" customHeight="1" x14ac:dyDescent="0.35"/>
    <row r="763" ht="14.25" customHeight="1" x14ac:dyDescent="0.35"/>
    <row r="764" ht="14.25" customHeight="1" x14ac:dyDescent="0.35"/>
    <row r="765" ht="14.25" customHeight="1" x14ac:dyDescent="0.35"/>
    <row r="766" ht="14.25" customHeight="1" x14ac:dyDescent="0.35"/>
    <row r="767" ht="14.25" customHeight="1" x14ac:dyDescent="0.35"/>
    <row r="768" ht="14.25" customHeight="1" x14ac:dyDescent="0.35"/>
    <row r="769" ht="14.25" customHeight="1" x14ac:dyDescent="0.35"/>
    <row r="770" ht="14.25" customHeight="1" x14ac:dyDescent="0.35"/>
    <row r="771" ht="14.25" customHeight="1" x14ac:dyDescent="0.35"/>
    <row r="772" ht="14.25" customHeight="1" x14ac:dyDescent="0.35"/>
    <row r="773" ht="14.25" customHeight="1" x14ac:dyDescent="0.35"/>
    <row r="774" ht="14.25" customHeight="1" x14ac:dyDescent="0.35"/>
    <row r="775" ht="14.25" customHeight="1" x14ac:dyDescent="0.35"/>
    <row r="776" ht="14.25" customHeight="1" x14ac:dyDescent="0.35"/>
    <row r="777" ht="14.25" customHeight="1" x14ac:dyDescent="0.35"/>
    <row r="778" ht="14.25" customHeight="1" x14ac:dyDescent="0.35"/>
    <row r="779" ht="14.25" customHeight="1" x14ac:dyDescent="0.35"/>
    <row r="780" ht="14.25" customHeight="1" x14ac:dyDescent="0.35"/>
    <row r="781" ht="14.25" customHeight="1" x14ac:dyDescent="0.35"/>
    <row r="782" ht="14.25" customHeight="1" x14ac:dyDescent="0.35"/>
    <row r="783" ht="14.25" customHeight="1" x14ac:dyDescent="0.35"/>
    <row r="784" ht="14.25" customHeight="1" x14ac:dyDescent="0.35"/>
    <row r="785" ht="14.25" customHeight="1" x14ac:dyDescent="0.35"/>
    <row r="786" ht="14.25" customHeight="1" x14ac:dyDescent="0.35"/>
    <row r="787" ht="14.25" customHeight="1" x14ac:dyDescent="0.35"/>
    <row r="788" ht="14.25" customHeight="1" x14ac:dyDescent="0.35"/>
    <row r="789" ht="14.25" customHeight="1" x14ac:dyDescent="0.35"/>
    <row r="790" ht="14.25" customHeight="1" x14ac:dyDescent="0.35"/>
    <row r="791" ht="14.25" customHeight="1" x14ac:dyDescent="0.35"/>
    <row r="792" ht="14.25" customHeight="1" x14ac:dyDescent="0.35"/>
    <row r="793" ht="14.25" customHeight="1" x14ac:dyDescent="0.35"/>
    <row r="794" ht="14.25" customHeight="1" x14ac:dyDescent="0.35"/>
    <row r="795" ht="14.25" customHeight="1" x14ac:dyDescent="0.35"/>
    <row r="796" ht="14.25" customHeight="1" x14ac:dyDescent="0.35"/>
    <row r="797" ht="14.25" customHeight="1" x14ac:dyDescent="0.35"/>
    <row r="798" ht="14.25" customHeight="1" x14ac:dyDescent="0.35"/>
    <row r="799" ht="14.25" customHeight="1" x14ac:dyDescent="0.35"/>
    <row r="800" ht="14.25" customHeight="1" x14ac:dyDescent="0.35"/>
    <row r="801" ht="14.25" customHeight="1" x14ac:dyDescent="0.35"/>
    <row r="802" ht="14.25" customHeight="1" x14ac:dyDescent="0.35"/>
    <row r="803" ht="14.25" customHeight="1" x14ac:dyDescent="0.35"/>
    <row r="804" ht="14.25" customHeight="1" x14ac:dyDescent="0.35"/>
    <row r="805" ht="14.25" customHeight="1" x14ac:dyDescent="0.35"/>
    <row r="806" ht="14.25" customHeight="1" x14ac:dyDescent="0.35"/>
    <row r="807" ht="14.25" customHeight="1" x14ac:dyDescent="0.35"/>
    <row r="808" ht="14.25" customHeight="1" x14ac:dyDescent="0.35"/>
    <row r="809" ht="14.25" customHeight="1" x14ac:dyDescent="0.35"/>
    <row r="810" ht="14.25" customHeight="1" x14ac:dyDescent="0.35"/>
    <row r="811" ht="14.25" customHeight="1" x14ac:dyDescent="0.35"/>
    <row r="812" ht="14.25" customHeight="1" x14ac:dyDescent="0.35"/>
    <row r="813" ht="14.25" customHeight="1" x14ac:dyDescent="0.35"/>
    <row r="814" ht="14.25" customHeight="1" x14ac:dyDescent="0.35"/>
    <row r="815" ht="14.25" customHeight="1" x14ac:dyDescent="0.35"/>
    <row r="816" ht="14.25" customHeight="1" x14ac:dyDescent="0.35"/>
    <row r="817" ht="14.25" customHeight="1" x14ac:dyDescent="0.35"/>
    <row r="818" ht="14.25" customHeight="1" x14ac:dyDescent="0.35"/>
    <row r="819" ht="14.25" customHeight="1" x14ac:dyDescent="0.35"/>
    <row r="820" ht="14.25" customHeight="1" x14ac:dyDescent="0.35"/>
    <row r="821" ht="14.25" customHeight="1" x14ac:dyDescent="0.35"/>
    <row r="822" ht="14.25" customHeight="1" x14ac:dyDescent="0.35"/>
    <row r="823" ht="14.25" customHeight="1" x14ac:dyDescent="0.35"/>
    <row r="824" ht="14.25" customHeight="1" x14ac:dyDescent="0.35"/>
    <row r="825" ht="14.25" customHeight="1" x14ac:dyDescent="0.35"/>
    <row r="826" ht="14.25" customHeight="1" x14ac:dyDescent="0.35"/>
    <row r="827" ht="14.25" customHeight="1" x14ac:dyDescent="0.35"/>
    <row r="828" ht="14.25" customHeight="1" x14ac:dyDescent="0.35"/>
    <row r="829" ht="14.25" customHeight="1" x14ac:dyDescent="0.35"/>
    <row r="830" ht="14.25" customHeight="1" x14ac:dyDescent="0.35"/>
    <row r="831" ht="14.25" customHeight="1" x14ac:dyDescent="0.35"/>
    <row r="832" ht="14.25" customHeight="1" x14ac:dyDescent="0.35"/>
    <row r="833" ht="14.25" customHeight="1" x14ac:dyDescent="0.35"/>
    <row r="834" ht="14.25" customHeight="1" x14ac:dyDescent="0.35"/>
    <row r="835" ht="14.25" customHeight="1" x14ac:dyDescent="0.35"/>
    <row r="836" ht="14.25" customHeight="1" x14ac:dyDescent="0.35"/>
    <row r="837" ht="14.25" customHeight="1" x14ac:dyDescent="0.35"/>
    <row r="838" ht="14.25" customHeight="1" x14ac:dyDescent="0.35"/>
    <row r="839" ht="14.25" customHeight="1" x14ac:dyDescent="0.35"/>
    <row r="840" ht="14.25" customHeight="1" x14ac:dyDescent="0.35"/>
    <row r="841" ht="14.25" customHeight="1" x14ac:dyDescent="0.35"/>
    <row r="842" ht="14.25" customHeight="1" x14ac:dyDescent="0.35"/>
    <row r="843" ht="14.25" customHeight="1" x14ac:dyDescent="0.35"/>
    <row r="844" ht="14.25" customHeight="1" x14ac:dyDescent="0.35"/>
    <row r="845" ht="14.25" customHeight="1" x14ac:dyDescent="0.35"/>
    <row r="846" ht="14.25" customHeight="1" x14ac:dyDescent="0.35"/>
    <row r="847" ht="14.25" customHeight="1" x14ac:dyDescent="0.35"/>
    <row r="848" ht="14.25" customHeight="1" x14ac:dyDescent="0.35"/>
    <row r="849" ht="14.25" customHeight="1" x14ac:dyDescent="0.35"/>
    <row r="850" ht="14.25" customHeight="1" x14ac:dyDescent="0.35"/>
    <row r="851" ht="14.25" customHeight="1" x14ac:dyDescent="0.35"/>
    <row r="852" ht="14.25" customHeight="1" x14ac:dyDescent="0.35"/>
    <row r="853" ht="14.25" customHeight="1" x14ac:dyDescent="0.35"/>
    <row r="854" ht="14.25" customHeight="1" x14ac:dyDescent="0.35"/>
    <row r="855" ht="14.25" customHeight="1" x14ac:dyDescent="0.35"/>
    <row r="856" ht="14.25" customHeight="1" x14ac:dyDescent="0.35"/>
    <row r="857" ht="14.25" customHeight="1" x14ac:dyDescent="0.35"/>
    <row r="858" ht="14.25" customHeight="1" x14ac:dyDescent="0.35"/>
    <row r="859" ht="14.25" customHeight="1" x14ac:dyDescent="0.35"/>
    <row r="860" ht="14.25" customHeight="1" x14ac:dyDescent="0.35"/>
    <row r="861" ht="14.25" customHeight="1" x14ac:dyDescent="0.35"/>
    <row r="862" ht="14.25" customHeight="1" x14ac:dyDescent="0.35"/>
    <row r="863" ht="14.25" customHeight="1" x14ac:dyDescent="0.35"/>
    <row r="864" ht="14.25" customHeight="1" x14ac:dyDescent="0.35"/>
    <row r="865" ht="14.25" customHeight="1" x14ac:dyDescent="0.35"/>
    <row r="866" ht="14.25" customHeight="1" x14ac:dyDescent="0.35"/>
    <row r="867" ht="14.25" customHeight="1" x14ac:dyDescent="0.35"/>
    <row r="868" ht="14.25" customHeight="1" x14ac:dyDescent="0.35"/>
    <row r="869" ht="14.25" customHeight="1" x14ac:dyDescent="0.35"/>
    <row r="870" ht="14.25" customHeight="1" x14ac:dyDescent="0.35"/>
    <row r="871" ht="14.25" customHeight="1" x14ac:dyDescent="0.35"/>
    <row r="872" ht="14.25" customHeight="1" x14ac:dyDescent="0.35"/>
    <row r="873" ht="14.25" customHeight="1" x14ac:dyDescent="0.35"/>
    <row r="874" ht="14.25" customHeight="1" x14ac:dyDescent="0.35"/>
    <row r="875" ht="14.25" customHeight="1" x14ac:dyDescent="0.35"/>
    <row r="876" ht="14.25" customHeight="1" x14ac:dyDescent="0.35"/>
    <row r="877" ht="14.25" customHeight="1" x14ac:dyDescent="0.35"/>
    <row r="878" ht="14.25" customHeight="1" x14ac:dyDescent="0.35"/>
    <row r="879" ht="14.25" customHeight="1" x14ac:dyDescent="0.35"/>
    <row r="880" ht="14.25" customHeight="1" x14ac:dyDescent="0.35"/>
    <row r="881" ht="14.25" customHeight="1" x14ac:dyDescent="0.35"/>
    <row r="882" ht="14.25" customHeight="1" x14ac:dyDescent="0.35"/>
    <row r="883" ht="14.25" customHeight="1" x14ac:dyDescent="0.35"/>
    <row r="884" ht="14.25" customHeight="1" x14ac:dyDescent="0.35"/>
    <row r="885" ht="14.25" customHeight="1" x14ac:dyDescent="0.35"/>
    <row r="886" ht="14.25" customHeight="1" x14ac:dyDescent="0.35"/>
    <row r="887" ht="14.25" customHeight="1" x14ac:dyDescent="0.35"/>
    <row r="888" ht="14.25" customHeight="1" x14ac:dyDescent="0.35"/>
    <row r="889" ht="14.25" customHeight="1" x14ac:dyDescent="0.35"/>
    <row r="890" ht="14.25" customHeight="1" x14ac:dyDescent="0.35"/>
    <row r="891" ht="14.25" customHeight="1" x14ac:dyDescent="0.35"/>
    <row r="892" ht="14.25" customHeight="1" x14ac:dyDescent="0.35"/>
    <row r="893" ht="14.25" customHeight="1" x14ac:dyDescent="0.35"/>
    <row r="894" ht="14.25" customHeight="1" x14ac:dyDescent="0.35"/>
    <row r="895" ht="14.25" customHeight="1" x14ac:dyDescent="0.35"/>
    <row r="896" ht="14.25" customHeight="1" x14ac:dyDescent="0.35"/>
    <row r="897" ht="14.25" customHeight="1" x14ac:dyDescent="0.35"/>
    <row r="898" ht="14.25" customHeight="1" x14ac:dyDescent="0.35"/>
    <row r="899" ht="14.25" customHeight="1" x14ac:dyDescent="0.35"/>
    <row r="900" ht="14.25" customHeight="1" x14ac:dyDescent="0.35"/>
    <row r="901" ht="14.25" customHeight="1" x14ac:dyDescent="0.35"/>
    <row r="902" ht="14.25" customHeight="1" x14ac:dyDescent="0.35"/>
    <row r="903" ht="14.25" customHeight="1" x14ac:dyDescent="0.35"/>
    <row r="904" ht="14.25" customHeight="1" x14ac:dyDescent="0.35"/>
    <row r="905" ht="14.25" customHeight="1" x14ac:dyDescent="0.35"/>
    <row r="906" ht="14.25" customHeight="1" x14ac:dyDescent="0.35"/>
    <row r="907" ht="14.25" customHeight="1" x14ac:dyDescent="0.35"/>
    <row r="908" ht="14.25" customHeight="1" x14ac:dyDescent="0.35"/>
    <row r="909" ht="14.25" customHeight="1" x14ac:dyDescent="0.35"/>
    <row r="910" ht="14.25" customHeight="1" x14ac:dyDescent="0.35"/>
    <row r="911" ht="14.25" customHeight="1" x14ac:dyDescent="0.35"/>
    <row r="912" ht="14.25" customHeight="1" x14ac:dyDescent="0.35"/>
    <row r="913" ht="14.25" customHeight="1" x14ac:dyDescent="0.35"/>
    <row r="914" ht="14.25" customHeight="1" x14ac:dyDescent="0.35"/>
    <row r="915" ht="14.25" customHeight="1" x14ac:dyDescent="0.35"/>
    <row r="916" ht="14.25" customHeight="1" x14ac:dyDescent="0.35"/>
    <row r="917" ht="14.25" customHeight="1" x14ac:dyDescent="0.35"/>
    <row r="918" ht="14.25" customHeight="1" x14ac:dyDescent="0.35"/>
    <row r="919" ht="14.25" customHeight="1" x14ac:dyDescent="0.35"/>
    <row r="920" ht="14.25" customHeight="1" x14ac:dyDescent="0.35"/>
    <row r="921" ht="14.25" customHeight="1" x14ac:dyDescent="0.35"/>
    <row r="922" ht="14.25" customHeight="1" x14ac:dyDescent="0.35"/>
    <row r="923" ht="14.25" customHeight="1" x14ac:dyDescent="0.35"/>
    <row r="924" ht="14.25" customHeight="1" x14ac:dyDescent="0.35"/>
    <row r="925" ht="14.25" customHeight="1" x14ac:dyDescent="0.35"/>
    <row r="926" ht="14.25" customHeight="1" x14ac:dyDescent="0.35"/>
    <row r="927" ht="14.25" customHeight="1" x14ac:dyDescent="0.35"/>
    <row r="928" ht="14.25" customHeight="1" x14ac:dyDescent="0.35"/>
    <row r="929" ht="14.25" customHeight="1" x14ac:dyDescent="0.35"/>
    <row r="930" ht="14.25" customHeight="1" x14ac:dyDescent="0.35"/>
    <row r="931" ht="14.25" customHeight="1" x14ac:dyDescent="0.35"/>
    <row r="932" ht="14.25" customHeight="1" x14ac:dyDescent="0.35"/>
    <row r="933" ht="14.25" customHeight="1" x14ac:dyDescent="0.35"/>
    <row r="934" ht="14.25" customHeight="1" x14ac:dyDescent="0.35"/>
    <row r="935" ht="14.25" customHeight="1" x14ac:dyDescent="0.35"/>
    <row r="936" ht="14.25" customHeight="1" x14ac:dyDescent="0.35"/>
    <row r="937" ht="14.25" customHeight="1" x14ac:dyDescent="0.35"/>
    <row r="938" ht="14.25" customHeight="1" x14ac:dyDescent="0.35"/>
    <row r="939" ht="14.25" customHeight="1" x14ac:dyDescent="0.35"/>
    <row r="940" ht="14.25" customHeight="1" x14ac:dyDescent="0.35"/>
    <row r="941" ht="14.25" customHeight="1" x14ac:dyDescent="0.35"/>
    <row r="942" ht="14.25" customHeight="1" x14ac:dyDescent="0.35"/>
    <row r="943" ht="14.25" customHeight="1" x14ac:dyDescent="0.35"/>
    <row r="944" ht="14.25" customHeight="1" x14ac:dyDescent="0.35"/>
    <row r="945" ht="14.25" customHeight="1" x14ac:dyDescent="0.35"/>
    <row r="946" ht="14.25" customHeight="1" x14ac:dyDescent="0.35"/>
    <row r="947" ht="14.25" customHeight="1" x14ac:dyDescent="0.35"/>
    <row r="948" ht="14.25" customHeight="1" x14ac:dyDescent="0.35"/>
    <row r="949" ht="14.25" customHeight="1" x14ac:dyDescent="0.35"/>
    <row r="950" ht="14.25" customHeight="1" x14ac:dyDescent="0.35"/>
    <row r="951" ht="14.25" customHeight="1" x14ac:dyDescent="0.35"/>
    <row r="952" ht="14.25" customHeight="1" x14ac:dyDescent="0.35"/>
    <row r="953" ht="14.25" customHeight="1" x14ac:dyDescent="0.35"/>
    <row r="954" ht="14.25" customHeight="1" x14ac:dyDescent="0.35"/>
    <row r="955" ht="14.25" customHeight="1" x14ac:dyDescent="0.35"/>
    <row r="956" ht="14.25" customHeight="1" x14ac:dyDescent="0.35"/>
    <row r="957" ht="14.25" customHeight="1" x14ac:dyDescent="0.35"/>
    <row r="958" ht="14.25" customHeight="1" x14ac:dyDescent="0.35"/>
    <row r="959" ht="14.25" customHeight="1" x14ac:dyDescent="0.35"/>
    <row r="960" ht="14.25" customHeight="1" x14ac:dyDescent="0.35"/>
    <row r="961" ht="14.25" customHeight="1" x14ac:dyDescent="0.35"/>
    <row r="962" ht="14.25" customHeight="1" x14ac:dyDescent="0.35"/>
    <row r="963" ht="14.25" customHeight="1" x14ac:dyDescent="0.35"/>
    <row r="964" ht="14.25" customHeight="1" x14ac:dyDescent="0.35"/>
    <row r="965" ht="14.25" customHeight="1" x14ac:dyDescent="0.35"/>
    <row r="966" ht="14.25" customHeight="1" x14ac:dyDescent="0.35"/>
    <row r="967" ht="14.25" customHeight="1" x14ac:dyDescent="0.35"/>
    <row r="968" ht="14.25" customHeight="1" x14ac:dyDescent="0.35"/>
    <row r="969" ht="14.25" customHeight="1" x14ac:dyDescent="0.35"/>
    <row r="970" ht="14.25" customHeight="1" x14ac:dyDescent="0.35"/>
    <row r="971" ht="14.25" customHeight="1" x14ac:dyDescent="0.35"/>
    <row r="972" ht="14.25" customHeight="1" x14ac:dyDescent="0.35"/>
    <row r="973" ht="14.25" customHeight="1" x14ac:dyDescent="0.35"/>
    <row r="974" ht="14.25" customHeight="1" x14ac:dyDescent="0.35"/>
    <row r="975" ht="14.25" customHeight="1" x14ac:dyDescent="0.35"/>
    <row r="976" ht="14.25" customHeight="1" x14ac:dyDescent="0.35"/>
    <row r="977" ht="14.25" customHeight="1" x14ac:dyDescent="0.35"/>
    <row r="978" ht="14.25" customHeight="1" x14ac:dyDescent="0.35"/>
    <row r="979" ht="14.25" customHeight="1" x14ac:dyDescent="0.35"/>
    <row r="980" ht="14.25" customHeight="1" x14ac:dyDescent="0.35"/>
    <row r="981" ht="14.25" customHeight="1" x14ac:dyDescent="0.35"/>
    <row r="982" ht="14.25" customHeight="1" x14ac:dyDescent="0.35"/>
    <row r="983" ht="14.25" customHeight="1" x14ac:dyDescent="0.35"/>
    <row r="984" ht="14.25" customHeight="1" x14ac:dyDescent="0.35"/>
    <row r="985" ht="14.25" customHeight="1" x14ac:dyDescent="0.35"/>
    <row r="986" ht="14.25" customHeight="1" x14ac:dyDescent="0.35"/>
    <row r="987" ht="14.25" customHeight="1" x14ac:dyDescent="0.35"/>
    <row r="988" ht="14.25" customHeight="1" x14ac:dyDescent="0.35"/>
    <row r="989" ht="14.25" customHeight="1" x14ac:dyDescent="0.35"/>
    <row r="990" ht="14.25" customHeight="1" x14ac:dyDescent="0.35"/>
    <row r="991" ht="14.25" customHeight="1" x14ac:dyDescent="0.35"/>
    <row r="992" ht="14.25" customHeight="1" x14ac:dyDescent="0.35"/>
    <row r="993" ht="14.25" customHeight="1" x14ac:dyDescent="0.35"/>
    <row r="994" ht="14.25" customHeight="1" x14ac:dyDescent="0.35"/>
    <row r="995" ht="14.25" customHeight="1" x14ac:dyDescent="0.35"/>
    <row r="996" ht="14.25" customHeight="1" x14ac:dyDescent="0.35"/>
    <row r="997" ht="14.25" customHeight="1" x14ac:dyDescent="0.35"/>
    <row r="998" ht="14.25" customHeight="1" x14ac:dyDescent="0.35"/>
    <row r="999" ht="14.25" customHeight="1" x14ac:dyDescent="0.35"/>
    <row r="1000" ht="14.25" customHeight="1" x14ac:dyDescent="0.35"/>
  </sheetData>
  <pageMargins left="0.7" right="0.7" top="0.75" bottom="0.75" header="0.511811023622047" footer="0.511811023622047"/>
  <pageSetup orientation="landscape" horizontalDpi="300" verticalDpi="300"/>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1000"/>
  <sheetViews>
    <sheetView showGridLines="0" zoomScaleNormal="100" workbookViewId="0">
      <selection activeCell="C4" sqref="C4"/>
    </sheetView>
  </sheetViews>
  <sheetFormatPr defaultColWidth="14.453125" defaultRowHeight="14.5" x14ac:dyDescent="0.35"/>
  <cols>
    <col min="1" max="1" width="12" customWidth="1"/>
    <col min="2" max="2" width="15.453125" customWidth="1"/>
    <col min="3" max="3" width="13.7265625" customWidth="1"/>
    <col min="4" max="26" width="8.7265625" customWidth="1"/>
  </cols>
  <sheetData>
    <row r="1" spans="1:4" ht="14.25" customHeight="1" x14ac:dyDescent="0.35">
      <c r="A1" s="13" t="s">
        <v>1</v>
      </c>
      <c r="B1" s="13" t="s">
        <v>5</v>
      </c>
      <c r="C1" s="13" t="s">
        <v>6</v>
      </c>
      <c r="D1" s="13" t="s">
        <v>73</v>
      </c>
    </row>
    <row r="2" spans="1:4" ht="14.25" customHeight="1" x14ac:dyDescent="0.35">
      <c r="A2" s="15" t="s">
        <v>10</v>
      </c>
      <c r="B2" s="15" t="s">
        <v>44</v>
      </c>
      <c r="C2" s="15" t="s">
        <v>45</v>
      </c>
      <c r="D2" s="16">
        <v>120</v>
      </c>
    </row>
    <row r="3" spans="1:4" ht="14.25" customHeight="1" x14ac:dyDescent="0.35">
      <c r="A3" s="18" t="s">
        <v>12</v>
      </c>
      <c r="B3" s="18" t="s">
        <v>66</v>
      </c>
      <c r="C3" s="18" t="s">
        <v>45</v>
      </c>
      <c r="D3" s="19">
        <v>15</v>
      </c>
    </row>
    <row r="4" spans="1:4" ht="14.25" customHeight="1" x14ac:dyDescent="0.35">
      <c r="A4" s="15" t="s">
        <v>14</v>
      </c>
      <c r="B4" s="15" t="s">
        <v>51</v>
      </c>
      <c r="C4" s="15" t="s">
        <v>52</v>
      </c>
      <c r="D4" s="16">
        <v>220</v>
      </c>
    </row>
    <row r="5" spans="1:4" ht="14.25" customHeight="1" x14ac:dyDescent="0.35">
      <c r="A5" s="18" t="s">
        <v>16</v>
      </c>
      <c r="B5" s="18" t="s">
        <v>64</v>
      </c>
      <c r="C5" s="18" t="s">
        <v>45</v>
      </c>
      <c r="D5" s="19">
        <v>30</v>
      </c>
    </row>
    <row r="6" spans="1:4" ht="14.25" customHeight="1" x14ac:dyDescent="0.35">
      <c r="A6" s="15" t="s">
        <v>17</v>
      </c>
      <c r="B6" s="15" t="s">
        <v>58</v>
      </c>
      <c r="C6" s="15" t="s">
        <v>52</v>
      </c>
      <c r="D6" s="16">
        <v>50</v>
      </c>
    </row>
    <row r="7" spans="1:4" ht="14.25" customHeight="1" x14ac:dyDescent="0.35"/>
    <row r="8" spans="1:4" ht="14.25" customHeight="1" x14ac:dyDescent="0.35"/>
    <row r="9" spans="1:4" ht="14.25" customHeight="1" x14ac:dyDescent="0.35"/>
    <row r="10" spans="1:4" ht="14.25" customHeight="1" x14ac:dyDescent="0.35"/>
    <row r="11" spans="1:4" ht="14.25" customHeight="1" x14ac:dyDescent="0.35"/>
    <row r="12" spans="1:4" ht="14.25" customHeight="1" x14ac:dyDescent="0.35"/>
    <row r="13" spans="1:4" ht="14.25" customHeight="1" x14ac:dyDescent="0.35"/>
    <row r="14" spans="1:4" ht="14.25" customHeight="1" x14ac:dyDescent="0.35"/>
    <row r="15" spans="1:4" ht="14.25" customHeight="1" x14ac:dyDescent="0.35"/>
    <row r="16" spans="1:4" ht="14.25" customHeight="1" x14ac:dyDescent="0.35"/>
    <row r="17" ht="14.25" customHeight="1" x14ac:dyDescent="0.35"/>
    <row r="18" ht="14.25" customHeight="1" x14ac:dyDescent="0.35"/>
    <row r="19" ht="14.25" customHeight="1" x14ac:dyDescent="0.35"/>
    <row r="20" ht="14.25" customHeight="1" x14ac:dyDescent="0.35"/>
    <row r="21" ht="14.25" customHeight="1" x14ac:dyDescent="0.35"/>
    <row r="22" ht="14.25" customHeight="1" x14ac:dyDescent="0.35"/>
    <row r="23" ht="14.25" customHeight="1" x14ac:dyDescent="0.35"/>
    <row r="24" ht="14.25" customHeight="1" x14ac:dyDescent="0.35"/>
    <row r="25" ht="14.25" customHeight="1" x14ac:dyDescent="0.35"/>
    <row r="26" ht="14.25" customHeight="1" x14ac:dyDescent="0.35"/>
    <row r="27" ht="14.25" customHeight="1" x14ac:dyDescent="0.35"/>
    <row r="28" ht="14.25" customHeight="1" x14ac:dyDescent="0.35"/>
    <row r="29" ht="14.25" customHeight="1" x14ac:dyDescent="0.35"/>
    <row r="30" ht="14.25" customHeight="1" x14ac:dyDescent="0.35"/>
    <row r="31" ht="14.25" customHeight="1" x14ac:dyDescent="0.35"/>
    <row r="32" ht="14.25" customHeight="1" x14ac:dyDescent="0.35"/>
    <row r="33" ht="14.25" customHeight="1" x14ac:dyDescent="0.35"/>
    <row r="34" ht="14.25" customHeight="1" x14ac:dyDescent="0.35"/>
    <row r="35" ht="14.25" customHeight="1" x14ac:dyDescent="0.35"/>
    <row r="36" ht="14.25" customHeight="1" x14ac:dyDescent="0.35"/>
    <row r="37" ht="14.25" customHeight="1" x14ac:dyDescent="0.35"/>
    <row r="38" ht="14.25" customHeight="1" x14ac:dyDescent="0.35"/>
    <row r="39" ht="14.25" customHeight="1" x14ac:dyDescent="0.35"/>
    <row r="40" ht="14.25" customHeight="1" x14ac:dyDescent="0.35"/>
    <row r="41" ht="14.25" customHeight="1" x14ac:dyDescent="0.35"/>
    <row r="42" ht="14.25" customHeight="1" x14ac:dyDescent="0.35"/>
    <row r="43" ht="14.25" customHeight="1" x14ac:dyDescent="0.35"/>
    <row r="44" ht="14.25" customHeight="1" x14ac:dyDescent="0.35"/>
    <row r="45" ht="14.25" customHeight="1" x14ac:dyDescent="0.35"/>
    <row r="46" ht="14.25" customHeight="1" x14ac:dyDescent="0.35"/>
    <row r="47" ht="14.25" customHeight="1" x14ac:dyDescent="0.35"/>
    <row r="48" ht="14.25" customHeight="1" x14ac:dyDescent="0.35"/>
    <row r="49" ht="14.25" customHeight="1" x14ac:dyDescent="0.35"/>
    <row r="50" ht="14.25" customHeight="1" x14ac:dyDescent="0.35"/>
    <row r="51" ht="14.25" customHeight="1" x14ac:dyDescent="0.35"/>
    <row r="52" ht="14.25" customHeight="1" x14ac:dyDescent="0.35"/>
    <row r="53" ht="14.25" customHeight="1" x14ac:dyDescent="0.35"/>
    <row r="54" ht="14.25" customHeight="1" x14ac:dyDescent="0.35"/>
    <row r="55" ht="14.25" customHeight="1" x14ac:dyDescent="0.35"/>
    <row r="56" ht="14.25" customHeight="1" x14ac:dyDescent="0.35"/>
    <row r="57" ht="14.25" customHeight="1" x14ac:dyDescent="0.35"/>
    <row r="58" ht="14.25" customHeight="1" x14ac:dyDescent="0.35"/>
    <row r="59" ht="14.25" customHeight="1" x14ac:dyDescent="0.35"/>
    <row r="60" ht="14.25" customHeight="1" x14ac:dyDescent="0.35"/>
    <row r="61" ht="14.25" customHeight="1" x14ac:dyDescent="0.35"/>
    <row r="62" ht="14.25" customHeight="1" x14ac:dyDescent="0.35"/>
    <row r="63" ht="14.25" customHeight="1" x14ac:dyDescent="0.35"/>
    <row r="64" ht="14.25" customHeight="1" x14ac:dyDescent="0.35"/>
    <row r="65" ht="14.25" customHeight="1" x14ac:dyDescent="0.35"/>
    <row r="66" ht="14.25" customHeight="1" x14ac:dyDescent="0.35"/>
    <row r="67" ht="14.25" customHeight="1" x14ac:dyDescent="0.35"/>
    <row r="68" ht="14.25" customHeight="1" x14ac:dyDescent="0.35"/>
    <row r="69" ht="14.25" customHeight="1" x14ac:dyDescent="0.35"/>
    <row r="70" ht="14.25" customHeight="1" x14ac:dyDescent="0.35"/>
    <row r="71" ht="14.25" customHeight="1" x14ac:dyDescent="0.35"/>
    <row r="72" ht="14.25" customHeight="1" x14ac:dyDescent="0.35"/>
    <row r="73" ht="14.25" customHeight="1" x14ac:dyDescent="0.35"/>
    <row r="74" ht="14.25" customHeight="1" x14ac:dyDescent="0.35"/>
    <row r="75" ht="14.25" customHeight="1" x14ac:dyDescent="0.35"/>
    <row r="76" ht="14.25" customHeight="1" x14ac:dyDescent="0.35"/>
    <row r="77" ht="14.25" customHeight="1" x14ac:dyDescent="0.35"/>
    <row r="78" ht="14.25" customHeight="1" x14ac:dyDescent="0.35"/>
    <row r="79" ht="14.25" customHeight="1" x14ac:dyDescent="0.35"/>
    <row r="80" ht="14.25" customHeight="1" x14ac:dyDescent="0.35"/>
    <row r="81" ht="14.25" customHeight="1" x14ac:dyDescent="0.35"/>
    <row r="82" ht="14.25" customHeight="1" x14ac:dyDescent="0.35"/>
    <row r="83" ht="14.25" customHeight="1" x14ac:dyDescent="0.35"/>
    <row r="84" ht="14.25" customHeight="1" x14ac:dyDescent="0.35"/>
    <row r="85" ht="14.25" customHeight="1" x14ac:dyDescent="0.35"/>
    <row r="86" ht="14.25" customHeight="1" x14ac:dyDescent="0.35"/>
    <row r="87" ht="14.25" customHeight="1" x14ac:dyDescent="0.35"/>
    <row r="88" ht="14.25" customHeight="1" x14ac:dyDescent="0.35"/>
    <row r="89" ht="14.25" customHeight="1" x14ac:dyDescent="0.35"/>
    <row r="90" ht="14.25" customHeight="1" x14ac:dyDescent="0.35"/>
    <row r="91" ht="14.25" customHeight="1" x14ac:dyDescent="0.35"/>
    <row r="92" ht="14.25" customHeight="1" x14ac:dyDescent="0.35"/>
    <row r="93" ht="14.25" customHeight="1" x14ac:dyDescent="0.35"/>
    <row r="94" ht="14.25" customHeight="1" x14ac:dyDescent="0.35"/>
    <row r="95" ht="14.25" customHeight="1" x14ac:dyDescent="0.35"/>
    <row r="96" ht="14.25" customHeight="1" x14ac:dyDescent="0.35"/>
    <row r="97" ht="14.25" customHeight="1" x14ac:dyDescent="0.35"/>
    <row r="98" ht="14.25" customHeight="1" x14ac:dyDescent="0.35"/>
    <row r="99" ht="14.25" customHeight="1" x14ac:dyDescent="0.35"/>
    <row r="100" ht="14.25" customHeight="1" x14ac:dyDescent="0.35"/>
    <row r="101" ht="14.25" customHeight="1" x14ac:dyDescent="0.35"/>
    <row r="102" ht="14.25" customHeight="1" x14ac:dyDescent="0.35"/>
    <row r="103" ht="14.25" customHeight="1" x14ac:dyDescent="0.35"/>
    <row r="104" ht="14.25" customHeight="1" x14ac:dyDescent="0.35"/>
    <row r="105" ht="14.25" customHeight="1" x14ac:dyDescent="0.35"/>
    <row r="106" ht="14.25" customHeight="1" x14ac:dyDescent="0.35"/>
    <row r="107" ht="14.25" customHeight="1" x14ac:dyDescent="0.35"/>
    <row r="108" ht="14.25" customHeight="1" x14ac:dyDescent="0.35"/>
    <row r="109" ht="14.25" customHeight="1" x14ac:dyDescent="0.35"/>
    <row r="110" ht="14.25" customHeight="1" x14ac:dyDescent="0.35"/>
    <row r="111" ht="14.25" customHeight="1" x14ac:dyDescent="0.35"/>
    <row r="112" ht="14.25" customHeight="1" x14ac:dyDescent="0.35"/>
    <row r="113" ht="14.25" customHeight="1" x14ac:dyDescent="0.35"/>
    <row r="114" ht="14.25" customHeight="1" x14ac:dyDescent="0.35"/>
    <row r="115" ht="14.25" customHeight="1" x14ac:dyDescent="0.35"/>
    <row r="116" ht="14.25" customHeight="1" x14ac:dyDescent="0.35"/>
    <row r="117" ht="14.25" customHeight="1" x14ac:dyDescent="0.35"/>
    <row r="118" ht="14.25" customHeight="1" x14ac:dyDescent="0.35"/>
    <row r="119" ht="14.25" customHeight="1" x14ac:dyDescent="0.35"/>
    <row r="120" ht="14.25" customHeight="1" x14ac:dyDescent="0.35"/>
    <row r="121" ht="14.25" customHeight="1" x14ac:dyDescent="0.35"/>
    <row r="122" ht="14.25" customHeight="1" x14ac:dyDescent="0.35"/>
    <row r="123" ht="14.25" customHeight="1" x14ac:dyDescent="0.35"/>
    <row r="124" ht="14.25" customHeight="1" x14ac:dyDescent="0.35"/>
    <row r="125" ht="14.25" customHeight="1" x14ac:dyDescent="0.35"/>
    <row r="126" ht="14.25" customHeight="1" x14ac:dyDescent="0.35"/>
    <row r="127" ht="14.25" customHeight="1" x14ac:dyDescent="0.35"/>
    <row r="128" ht="14.25" customHeight="1" x14ac:dyDescent="0.35"/>
    <row r="129" ht="14.25" customHeight="1" x14ac:dyDescent="0.35"/>
    <row r="130" ht="14.25" customHeight="1" x14ac:dyDescent="0.35"/>
    <row r="131" ht="14.25" customHeight="1" x14ac:dyDescent="0.35"/>
    <row r="132" ht="14.25" customHeight="1" x14ac:dyDescent="0.35"/>
    <row r="133" ht="14.25" customHeight="1" x14ac:dyDescent="0.35"/>
    <row r="134" ht="14.25" customHeight="1" x14ac:dyDescent="0.35"/>
    <row r="135" ht="14.25" customHeight="1" x14ac:dyDescent="0.35"/>
    <row r="136" ht="14.25" customHeight="1" x14ac:dyDescent="0.35"/>
    <row r="137" ht="14.25" customHeight="1" x14ac:dyDescent="0.35"/>
    <row r="138" ht="14.25" customHeight="1" x14ac:dyDescent="0.35"/>
    <row r="139" ht="14.25" customHeight="1" x14ac:dyDescent="0.35"/>
    <row r="140" ht="14.25" customHeight="1" x14ac:dyDescent="0.35"/>
    <row r="141" ht="14.25" customHeight="1" x14ac:dyDescent="0.35"/>
    <row r="142" ht="14.25" customHeight="1" x14ac:dyDescent="0.35"/>
    <row r="143" ht="14.25" customHeight="1" x14ac:dyDescent="0.35"/>
    <row r="144" ht="14.25" customHeight="1" x14ac:dyDescent="0.35"/>
    <row r="145" ht="14.25" customHeight="1" x14ac:dyDescent="0.35"/>
    <row r="146" ht="14.25" customHeight="1" x14ac:dyDescent="0.35"/>
    <row r="147" ht="14.25" customHeight="1" x14ac:dyDescent="0.35"/>
    <row r="148" ht="14.25" customHeight="1" x14ac:dyDescent="0.35"/>
    <row r="149" ht="14.25" customHeight="1" x14ac:dyDescent="0.35"/>
    <row r="150" ht="14.25" customHeight="1" x14ac:dyDescent="0.35"/>
    <row r="151" ht="14.25" customHeight="1" x14ac:dyDescent="0.35"/>
    <row r="152" ht="14.25" customHeight="1" x14ac:dyDescent="0.35"/>
    <row r="153" ht="14.25" customHeight="1" x14ac:dyDescent="0.35"/>
    <row r="154" ht="14.25" customHeight="1" x14ac:dyDescent="0.35"/>
    <row r="155" ht="14.25" customHeight="1" x14ac:dyDescent="0.35"/>
    <row r="156" ht="14.25" customHeight="1" x14ac:dyDescent="0.35"/>
    <row r="157" ht="14.25" customHeight="1" x14ac:dyDescent="0.35"/>
    <row r="158" ht="14.25" customHeight="1" x14ac:dyDescent="0.35"/>
    <row r="159" ht="14.25" customHeight="1" x14ac:dyDescent="0.35"/>
    <row r="160" ht="14.25" customHeight="1" x14ac:dyDescent="0.35"/>
    <row r="161" ht="14.25" customHeight="1" x14ac:dyDescent="0.35"/>
    <row r="162" ht="14.25" customHeight="1" x14ac:dyDescent="0.35"/>
    <row r="163" ht="14.25" customHeight="1" x14ac:dyDescent="0.35"/>
    <row r="164" ht="14.25" customHeight="1" x14ac:dyDescent="0.35"/>
    <row r="165" ht="14.25" customHeight="1" x14ac:dyDescent="0.35"/>
    <row r="166" ht="14.25" customHeight="1" x14ac:dyDescent="0.35"/>
    <row r="167" ht="14.25" customHeight="1" x14ac:dyDescent="0.35"/>
    <row r="168" ht="14.25" customHeight="1" x14ac:dyDescent="0.35"/>
    <row r="169" ht="14.25" customHeight="1" x14ac:dyDescent="0.35"/>
    <row r="170" ht="14.25" customHeight="1" x14ac:dyDescent="0.35"/>
    <row r="171" ht="14.25" customHeight="1" x14ac:dyDescent="0.35"/>
    <row r="172" ht="14.25" customHeight="1" x14ac:dyDescent="0.35"/>
    <row r="173" ht="14.25" customHeight="1" x14ac:dyDescent="0.35"/>
    <row r="174" ht="14.25" customHeight="1" x14ac:dyDescent="0.35"/>
    <row r="175" ht="14.25" customHeight="1" x14ac:dyDescent="0.35"/>
    <row r="176" ht="14.25" customHeight="1" x14ac:dyDescent="0.35"/>
    <row r="177" ht="14.25" customHeight="1" x14ac:dyDescent="0.35"/>
    <row r="178" ht="14.25" customHeight="1" x14ac:dyDescent="0.35"/>
    <row r="179" ht="14.25" customHeight="1" x14ac:dyDescent="0.35"/>
    <row r="180" ht="14.25" customHeight="1" x14ac:dyDescent="0.35"/>
    <row r="181" ht="14.25" customHeight="1" x14ac:dyDescent="0.35"/>
    <row r="182" ht="14.25" customHeight="1" x14ac:dyDescent="0.35"/>
    <row r="183" ht="14.25" customHeight="1" x14ac:dyDescent="0.35"/>
    <row r="184" ht="14.25" customHeight="1" x14ac:dyDescent="0.35"/>
    <row r="185" ht="14.25" customHeight="1" x14ac:dyDescent="0.35"/>
    <row r="186" ht="14.25" customHeight="1" x14ac:dyDescent="0.35"/>
    <row r="187" ht="14.25" customHeight="1" x14ac:dyDescent="0.35"/>
    <row r="188" ht="14.25" customHeight="1" x14ac:dyDescent="0.35"/>
    <row r="189" ht="14.25" customHeight="1" x14ac:dyDescent="0.35"/>
    <row r="190" ht="14.25" customHeight="1" x14ac:dyDescent="0.35"/>
    <row r="191" ht="14.25" customHeight="1" x14ac:dyDescent="0.35"/>
    <row r="192" ht="14.25" customHeight="1" x14ac:dyDescent="0.35"/>
    <row r="193" ht="14.25" customHeight="1" x14ac:dyDescent="0.35"/>
    <row r="194" ht="14.25" customHeight="1" x14ac:dyDescent="0.35"/>
    <row r="195" ht="14.25" customHeight="1" x14ac:dyDescent="0.35"/>
    <row r="196" ht="14.25" customHeight="1" x14ac:dyDescent="0.35"/>
    <row r="197" ht="14.25" customHeight="1" x14ac:dyDescent="0.35"/>
    <row r="198" ht="14.25" customHeight="1" x14ac:dyDescent="0.35"/>
    <row r="199" ht="14.25" customHeight="1" x14ac:dyDescent="0.35"/>
    <row r="200" ht="14.25" customHeight="1" x14ac:dyDescent="0.35"/>
    <row r="201" ht="14.25" customHeight="1" x14ac:dyDescent="0.35"/>
    <row r="202" ht="14.25" customHeight="1" x14ac:dyDescent="0.35"/>
    <row r="203" ht="14.25" customHeight="1" x14ac:dyDescent="0.35"/>
    <row r="204" ht="14.25" customHeight="1" x14ac:dyDescent="0.35"/>
    <row r="205" ht="14.25" customHeight="1" x14ac:dyDescent="0.35"/>
    <row r="206" ht="14.25" customHeight="1" x14ac:dyDescent="0.35"/>
    <row r="207" ht="14.25" customHeight="1" x14ac:dyDescent="0.35"/>
    <row r="208" ht="14.25" customHeight="1" x14ac:dyDescent="0.35"/>
    <row r="209" ht="14.25" customHeight="1" x14ac:dyDescent="0.35"/>
    <row r="210" ht="14.25" customHeight="1" x14ac:dyDescent="0.35"/>
    <row r="211" ht="14.25" customHeight="1" x14ac:dyDescent="0.35"/>
    <row r="212" ht="14.25" customHeight="1" x14ac:dyDescent="0.35"/>
    <row r="213" ht="14.25" customHeight="1" x14ac:dyDescent="0.35"/>
    <row r="214" ht="14.25" customHeight="1" x14ac:dyDescent="0.35"/>
    <row r="215" ht="14.25" customHeight="1" x14ac:dyDescent="0.35"/>
    <row r="216" ht="14.25" customHeight="1" x14ac:dyDescent="0.35"/>
    <row r="217" ht="14.25" customHeight="1" x14ac:dyDescent="0.35"/>
    <row r="218" ht="14.25" customHeight="1" x14ac:dyDescent="0.35"/>
    <row r="219" ht="14.25" customHeight="1" x14ac:dyDescent="0.35"/>
    <row r="220" ht="14.25" customHeight="1" x14ac:dyDescent="0.35"/>
    <row r="221" ht="14.25" customHeight="1" x14ac:dyDescent="0.35"/>
    <row r="222" ht="14.25" customHeight="1" x14ac:dyDescent="0.35"/>
    <row r="223" ht="14.25" customHeight="1" x14ac:dyDescent="0.35"/>
    <row r="224" ht="14.25" customHeight="1" x14ac:dyDescent="0.35"/>
    <row r="225" ht="14.25" customHeight="1" x14ac:dyDescent="0.35"/>
    <row r="226" ht="14.25" customHeight="1" x14ac:dyDescent="0.35"/>
    <row r="227" ht="14.25" customHeight="1" x14ac:dyDescent="0.35"/>
    <row r="228" ht="14.25" customHeight="1" x14ac:dyDescent="0.35"/>
    <row r="229" ht="14.25" customHeight="1" x14ac:dyDescent="0.35"/>
    <row r="230" ht="14.25" customHeight="1" x14ac:dyDescent="0.35"/>
    <row r="231" ht="14.25" customHeight="1" x14ac:dyDescent="0.35"/>
    <row r="232" ht="14.25" customHeight="1" x14ac:dyDescent="0.35"/>
    <row r="233" ht="14.25" customHeight="1" x14ac:dyDescent="0.35"/>
    <row r="234" ht="14.25" customHeight="1" x14ac:dyDescent="0.35"/>
    <row r="235" ht="14.25" customHeight="1" x14ac:dyDescent="0.35"/>
    <row r="236" ht="14.25" customHeight="1" x14ac:dyDescent="0.35"/>
    <row r="237" ht="14.25" customHeight="1" x14ac:dyDescent="0.35"/>
    <row r="238" ht="14.25" customHeight="1" x14ac:dyDescent="0.35"/>
    <row r="239" ht="14.25" customHeight="1" x14ac:dyDescent="0.35"/>
    <row r="240" ht="14.25" customHeight="1" x14ac:dyDescent="0.35"/>
    <row r="241" ht="14.25" customHeight="1" x14ac:dyDescent="0.35"/>
    <row r="242" ht="14.25" customHeight="1" x14ac:dyDescent="0.35"/>
    <row r="243" ht="14.25" customHeight="1" x14ac:dyDescent="0.35"/>
    <row r="244" ht="14.25" customHeight="1" x14ac:dyDescent="0.35"/>
    <row r="245" ht="14.25" customHeight="1" x14ac:dyDescent="0.35"/>
    <row r="246" ht="14.25" customHeight="1" x14ac:dyDescent="0.35"/>
    <row r="247" ht="14.25" customHeight="1" x14ac:dyDescent="0.35"/>
    <row r="248" ht="14.25" customHeight="1" x14ac:dyDescent="0.35"/>
    <row r="249" ht="14.25" customHeight="1" x14ac:dyDescent="0.35"/>
    <row r="250" ht="14.25" customHeight="1" x14ac:dyDescent="0.35"/>
    <row r="251" ht="14.25" customHeight="1" x14ac:dyDescent="0.35"/>
    <row r="252" ht="14.25" customHeight="1" x14ac:dyDescent="0.35"/>
    <row r="253" ht="14.25" customHeight="1" x14ac:dyDescent="0.35"/>
    <row r="254" ht="14.25" customHeight="1" x14ac:dyDescent="0.35"/>
    <row r="255" ht="14.25" customHeight="1" x14ac:dyDescent="0.35"/>
    <row r="256" ht="14.25" customHeight="1" x14ac:dyDescent="0.35"/>
    <row r="257" ht="14.25" customHeight="1" x14ac:dyDescent="0.35"/>
    <row r="258" ht="14.25" customHeight="1" x14ac:dyDescent="0.35"/>
    <row r="259" ht="14.25" customHeight="1" x14ac:dyDescent="0.35"/>
    <row r="260" ht="14.25" customHeight="1" x14ac:dyDescent="0.35"/>
    <row r="261" ht="14.25" customHeight="1" x14ac:dyDescent="0.35"/>
    <row r="262" ht="14.25" customHeight="1" x14ac:dyDescent="0.35"/>
    <row r="263" ht="14.25" customHeight="1" x14ac:dyDescent="0.35"/>
    <row r="264" ht="14.25" customHeight="1" x14ac:dyDescent="0.35"/>
    <row r="265" ht="14.25" customHeight="1" x14ac:dyDescent="0.35"/>
    <row r="266" ht="14.25" customHeight="1" x14ac:dyDescent="0.35"/>
    <row r="267" ht="14.25" customHeight="1" x14ac:dyDescent="0.35"/>
    <row r="268" ht="14.25" customHeight="1" x14ac:dyDescent="0.35"/>
    <row r="269" ht="14.25" customHeight="1" x14ac:dyDescent="0.35"/>
    <row r="270" ht="14.25" customHeight="1" x14ac:dyDescent="0.35"/>
    <row r="271" ht="14.25" customHeight="1" x14ac:dyDescent="0.35"/>
    <row r="272" ht="14.25" customHeight="1" x14ac:dyDescent="0.35"/>
    <row r="273" ht="14.25" customHeight="1" x14ac:dyDescent="0.35"/>
    <row r="274" ht="14.25" customHeight="1" x14ac:dyDescent="0.35"/>
    <row r="275" ht="14.25" customHeight="1" x14ac:dyDescent="0.35"/>
    <row r="276" ht="14.25" customHeight="1" x14ac:dyDescent="0.35"/>
    <row r="277" ht="14.25" customHeight="1" x14ac:dyDescent="0.35"/>
    <row r="278" ht="14.25" customHeight="1" x14ac:dyDescent="0.35"/>
    <row r="279" ht="14.25" customHeight="1" x14ac:dyDescent="0.35"/>
    <row r="280" ht="14.25" customHeight="1" x14ac:dyDescent="0.35"/>
    <row r="281" ht="14.25" customHeight="1" x14ac:dyDescent="0.35"/>
    <row r="282" ht="14.25" customHeight="1" x14ac:dyDescent="0.35"/>
    <row r="283" ht="14.25" customHeight="1" x14ac:dyDescent="0.35"/>
    <row r="284" ht="14.25" customHeight="1" x14ac:dyDescent="0.35"/>
    <row r="285" ht="14.25" customHeight="1" x14ac:dyDescent="0.35"/>
    <row r="286" ht="14.25" customHeight="1" x14ac:dyDescent="0.35"/>
    <row r="287" ht="14.25" customHeight="1" x14ac:dyDescent="0.35"/>
    <row r="288" ht="14.25" customHeight="1" x14ac:dyDescent="0.35"/>
    <row r="289" ht="14.25" customHeight="1" x14ac:dyDescent="0.35"/>
    <row r="290" ht="14.25" customHeight="1" x14ac:dyDescent="0.35"/>
    <row r="291" ht="14.25" customHeight="1" x14ac:dyDescent="0.35"/>
    <row r="292" ht="14.25" customHeight="1" x14ac:dyDescent="0.35"/>
    <row r="293" ht="14.25" customHeight="1" x14ac:dyDescent="0.35"/>
    <row r="294" ht="14.25" customHeight="1" x14ac:dyDescent="0.35"/>
    <row r="295" ht="14.25" customHeight="1" x14ac:dyDescent="0.35"/>
    <row r="296" ht="14.25" customHeight="1" x14ac:dyDescent="0.35"/>
    <row r="297" ht="14.25" customHeight="1" x14ac:dyDescent="0.35"/>
    <row r="298" ht="14.25" customHeight="1" x14ac:dyDescent="0.35"/>
    <row r="299" ht="14.25" customHeight="1" x14ac:dyDescent="0.35"/>
    <row r="300" ht="14.25" customHeight="1" x14ac:dyDescent="0.35"/>
    <row r="301" ht="14.25" customHeight="1" x14ac:dyDescent="0.35"/>
    <row r="302" ht="14.25" customHeight="1" x14ac:dyDescent="0.35"/>
    <row r="303" ht="14.25" customHeight="1" x14ac:dyDescent="0.35"/>
    <row r="304" ht="14.25" customHeight="1" x14ac:dyDescent="0.35"/>
    <row r="305" ht="14.25" customHeight="1" x14ac:dyDescent="0.35"/>
    <row r="306" ht="14.25" customHeight="1" x14ac:dyDescent="0.35"/>
    <row r="307" ht="14.25" customHeight="1" x14ac:dyDescent="0.35"/>
    <row r="308" ht="14.25" customHeight="1" x14ac:dyDescent="0.35"/>
    <row r="309" ht="14.25" customHeight="1" x14ac:dyDescent="0.35"/>
    <row r="310" ht="14.25" customHeight="1" x14ac:dyDescent="0.35"/>
    <row r="311" ht="14.25" customHeight="1" x14ac:dyDescent="0.35"/>
    <row r="312" ht="14.25" customHeight="1" x14ac:dyDescent="0.35"/>
    <row r="313" ht="14.25" customHeight="1" x14ac:dyDescent="0.35"/>
    <row r="314" ht="14.25" customHeight="1" x14ac:dyDescent="0.35"/>
    <row r="315" ht="14.25" customHeight="1" x14ac:dyDescent="0.35"/>
    <row r="316" ht="14.25" customHeight="1" x14ac:dyDescent="0.35"/>
    <row r="317" ht="14.25" customHeight="1" x14ac:dyDescent="0.35"/>
    <row r="318" ht="14.25" customHeight="1" x14ac:dyDescent="0.35"/>
    <row r="319" ht="14.25" customHeight="1" x14ac:dyDescent="0.35"/>
    <row r="320" ht="14.25" customHeight="1" x14ac:dyDescent="0.35"/>
    <row r="321" ht="14.25" customHeight="1" x14ac:dyDescent="0.35"/>
    <row r="322" ht="14.25" customHeight="1" x14ac:dyDescent="0.35"/>
    <row r="323" ht="14.25" customHeight="1" x14ac:dyDescent="0.35"/>
    <row r="324" ht="14.25" customHeight="1" x14ac:dyDescent="0.35"/>
    <row r="325" ht="14.25" customHeight="1" x14ac:dyDescent="0.35"/>
    <row r="326" ht="14.25" customHeight="1" x14ac:dyDescent="0.35"/>
    <row r="327" ht="14.25" customHeight="1" x14ac:dyDescent="0.35"/>
    <row r="328" ht="14.25" customHeight="1" x14ac:dyDescent="0.35"/>
    <row r="329" ht="14.25" customHeight="1" x14ac:dyDescent="0.35"/>
    <row r="330" ht="14.25" customHeight="1" x14ac:dyDescent="0.35"/>
    <row r="331" ht="14.25" customHeight="1" x14ac:dyDescent="0.35"/>
    <row r="332" ht="14.25" customHeight="1" x14ac:dyDescent="0.35"/>
    <row r="333" ht="14.25" customHeight="1" x14ac:dyDescent="0.35"/>
    <row r="334" ht="14.25" customHeight="1" x14ac:dyDescent="0.35"/>
    <row r="335" ht="14.25" customHeight="1" x14ac:dyDescent="0.35"/>
    <row r="336" ht="14.25" customHeight="1" x14ac:dyDescent="0.35"/>
    <row r="337" ht="14.25" customHeight="1" x14ac:dyDescent="0.35"/>
    <row r="338" ht="14.25" customHeight="1" x14ac:dyDescent="0.35"/>
    <row r="339" ht="14.25" customHeight="1" x14ac:dyDescent="0.35"/>
    <row r="340" ht="14.25" customHeight="1" x14ac:dyDescent="0.35"/>
    <row r="341" ht="14.25" customHeight="1" x14ac:dyDescent="0.35"/>
    <row r="342" ht="14.25" customHeight="1" x14ac:dyDescent="0.35"/>
    <row r="343" ht="14.25" customHeight="1" x14ac:dyDescent="0.35"/>
    <row r="344" ht="14.25" customHeight="1" x14ac:dyDescent="0.35"/>
    <row r="345" ht="14.25" customHeight="1" x14ac:dyDescent="0.35"/>
    <row r="346" ht="14.25" customHeight="1" x14ac:dyDescent="0.35"/>
    <row r="347" ht="14.25" customHeight="1" x14ac:dyDescent="0.35"/>
    <row r="348" ht="14.25" customHeight="1" x14ac:dyDescent="0.35"/>
    <row r="349" ht="14.25" customHeight="1" x14ac:dyDescent="0.35"/>
    <row r="350" ht="14.25" customHeight="1" x14ac:dyDescent="0.35"/>
    <row r="351" ht="14.25" customHeight="1" x14ac:dyDescent="0.35"/>
    <row r="352" ht="14.25" customHeight="1" x14ac:dyDescent="0.35"/>
    <row r="353" ht="14.25" customHeight="1" x14ac:dyDescent="0.35"/>
    <row r="354" ht="14.25" customHeight="1" x14ac:dyDescent="0.35"/>
    <row r="355" ht="14.25" customHeight="1" x14ac:dyDescent="0.35"/>
    <row r="356" ht="14.25" customHeight="1" x14ac:dyDescent="0.35"/>
    <row r="357" ht="14.25" customHeight="1" x14ac:dyDescent="0.35"/>
    <row r="358" ht="14.25" customHeight="1" x14ac:dyDescent="0.35"/>
    <row r="359" ht="14.25" customHeight="1" x14ac:dyDescent="0.35"/>
    <row r="360" ht="14.25" customHeight="1" x14ac:dyDescent="0.35"/>
    <row r="361" ht="14.25" customHeight="1" x14ac:dyDescent="0.35"/>
    <row r="362" ht="14.25" customHeight="1" x14ac:dyDescent="0.35"/>
    <row r="363" ht="14.25" customHeight="1" x14ac:dyDescent="0.35"/>
    <row r="364" ht="14.25" customHeight="1" x14ac:dyDescent="0.35"/>
    <row r="365" ht="14.25" customHeight="1" x14ac:dyDescent="0.35"/>
    <row r="366" ht="14.25" customHeight="1" x14ac:dyDescent="0.35"/>
    <row r="367" ht="14.25" customHeight="1" x14ac:dyDescent="0.35"/>
    <row r="368" ht="14.25" customHeight="1" x14ac:dyDescent="0.35"/>
    <row r="369" ht="14.25" customHeight="1" x14ac:dyDescent="0.35"/>
    <row r="370" ht="14.25" customHeight="1" x14ac:dyDescent="0.35"/>
    <row r="371" ht="14.25" customHeight="1" x14ac:dyDescent="0.35"/>
    <row r="372" ht="14.25" customHeight="1" x14ac:dyDescent="0.35"/>
    <row r="373" ht="14.25" customHeight="1" x14ac:dyDescent="0.35"/>
    <row r="374" ht="14.25" customHeight="1" x14ac:dyDescent="0.35"/>
    <row r="375" ht="14.25" customHeight="1" x14ac:dyDescent="0.35"/>
    <row r="376" ht="14.25" customHeight="1" x14ac:dyDescent="0.35"/>
    <row r="377" ht="14.25" customHeight="1" x14ac:dyDescent="0.35"/>
    <row r="378" ht="14.25" customHeight="1" x14ac:dyDescent="0.35"/>
    <row r="379" ht="14.25" customHeight="1" x14ac:dyDescent="0.35"/>
    <row r="380" ht="14.25" customHeight="1" x14ac:dyDescent="0.35"/>
    <row r="381" ht="14.25" customHeight="1" x14ac:dyDescent="0.35"/>
    <row r="382" ht="14.25" customHeight="1" x14ac:dyDescent="0.35"/>
    <row r="383" ht="14.25" customHeight="1" x14ac:dyDescent="0.35"/>
    <row r="384" ht="14.25" customHeight="1" x14ac:dyDescent="0.35"/>
    <row r="385" ht="14.25" customHeight="1" x14ac:dyDescent="0.35"/>
    <row r="386" ht="14.25" customHeight="1" x14ac:dyDescent="0.35"/>
    <row r="387" ht="14.25" customHeight="1" x14ac:dyDescent="0.35"/>
    <row r="388" ht="14.25" customHeight="1" x14ac:dyDescent="0.35"/>
    <row r="389" ht="14.25" customHeight="1" x14ac:dyDescent="0.35"/>
    <row r="390" ht="14.25" customHeight="1" x14ac:dyDescent="0.35"/>
    <row r="391" ht="14.25" customHeight="1" x14ac:dyDescent="0.35"/>
    <row r="392" ht="14.25" customHeight="1" x14ac:dyDescent="0.35"/>
    <row r="393" ht="14.25" customHeight="1" x14ac:dyDescent="0.35"/>
    <row r="394" ht="14.25" customHeight="1" x14ac:dyDescent="0.35"/>
    <row r="395" ht="14.25" customHeight="1" x14ac:dyDescent="0.35"/>
    <row r="396" ht="14.25" customHeight="1" x14ac:dyDescent="0.35"/>
    <row r="397" ht="14.25" customHeight="1" x14ac:dyDescent="0.35"/>
    <row r="398" ht="14.25" customHeight="1" x14ac:dyDescent="0.35"/>
    <row r="399" ht="14.25" customHeight="1" x14ac:dyDescent="0.35"/>
    <row r="400" ht="14.25" customHeight="1" x14ac:dyDescent="0.35"/>
    <row r="401" ht="14.25" customHeight="1" x14ac:dyDescent="0.35"/>
    <row r="402" ht="14.25" customHeight="1" x14ac:dyDescent="0.35"/>
    <row r="403" ht="14.25" customHeight="1" x14ac:dyDescent="0.35"/>
    <row r="404" ht="14.25" customHeight="1" x14ac:dyDescent="0.35"/>
    <row r="405" ht="14.25" customHeight="1" x14ac:dyDescent="0.35"/>
    <row r="406" ht="14.25" customHeight="1" x14ac:dyDescent="0.35"/>
    <row r="407" ht="14.25" customHeight="1" x14ac:dyDescent="0.35"/>
    <row r="408" ht="14.25" customHeight="1" x14ac:dyDescent="0.35"/>
    <row r="409" ht="14.25" customHeight="1" x14ac:dyDescent="0.35"/>
    <row r="410" ht="14.25" customHeight="1" x14ac:dyDescent="0.35"/>
    <row r="411" ht="14.25" customHeight="1" x14ac:dyDescent="0.35"/>
    <row r="412" ht="14.25" customHeight="1" x14ac:dyDescent="0.35"/>
    <row r="413" ht="14.25" customHeight="1" x14ac:dyDescent="0.35"/>
    <row r="414" ht="14.25" customHeight="1" x14ac:dyDescent="0.35"/>
    <row r="415" ht="14.25" customHeight="1" x14ac:dyDescent="0.35"/>
    <row r="416" ht="14.25" customHeight="1" x14ac:dyDescent="0.35"/>
    <row r="417" ht="14.25" customHeight="1" x14ac:dyDescent="0.35"/>
    <row r="418" ht="14.25" customHeight="1" x14ac:dyDescent="0.35"/>
    <row r="419" ht="14.25" customHeight="1" x14ac:dyDescent="0.35"/>
    <row r="420" ht="14.25" customHeight="1" x14ac:dyDescent="0.35"/>
    <row r="421" ht="14.25" customHeight="1" x14ac:dyDescent="0.35"/>
    <row r="422" ht="14.25" customHeight="1" x14ac:dyDescent="0.35"/>
    <row r="423" ht="14.25" customHeight="1" x14ac:dyDescent="0.35"/>
    <row r="424" ht="14.25" customHeight="1" x14ac:dyDescent="0.35"/>
    <row r="425" ht="14.25" customHeight="1" x14ac:dyDescent="0.35"/>
    <row r="426" ht="14.25" customHeight="1" x14ac:dyDescent="0.35"/>
    <row r="427" ht="14.25" customHeight="1" x14ac:dyDescent="0.35"/>
    <row r="428" ht="14.25" customHeight="1" x14ac:dyDescent="0.35"/>
    <row r="429" ht="14.25" customHeight="1" x14ac:dyDescent="0.35"/>
    <row r="430" ht="14.25" customHeight="1" x14ac:dyDescent="0.35"/>
    <row r="431" ht="14.25" customHeight="1" x14ac:dyDescent="0.35"/>
    <row r="432" ht="14.25" customHeight="1" x14ac:dyDescent="0.35"/>
    <row r="433" ht="14.25" customHeight="1" x14ac:dyDescent="0.35"/>
    <row r="434" ht="14.25" customHeight="1" x14ac:dyDescent="0.35"/>
    <row r="435" ht="14.25" customHeight="1" x14ac:dyDescent="0.35"/>
    <row r="436" ht="14.25" customHeight="1" x14ac:dyDescent="0.35"/>
    <row r="437" ht="14.25" customHeight="1" x14ac:dyDescent="0.35"/>
    <row r="438" ht="14.25" customHeight="1" x14ac:dyDescent="0.35"/>
    <row r="439" ht="14.25" customHeight="1" x14ac:dyDescent="0.35"/>
    <row r="440" ht="14.25" customHeight="1" x14ac:dyDescent="0.35"/>
    <row r="441" ht="14.25" customHeight="1" x14ac:dyDescent="0.35"/>
    <row r="442" ht="14.25" customHeight="1" x14ac:dyDescent="0.35"/>
    <row r="443" ht="14.25" customHeight="1" x14ac:dyDescent="0.35"/>
    <row r="444" ht="14.25" customHeight="1" x14ac:dyDescent="0.35"/>
    <row r="445" ht="14.25" customHeight="1" x14ac:dyDescent="0.35"/>
    <row r="446" ht="14.25" customHeight="1" x14ac:dyDescent="0.35"/>
    <row r="447" ht="14.25" customHeight="1" x14ac:dyDescent="0.35"/>
    <row r="448" ht="14.25" customHeight="1" x14ac:dyDescent="0.35"/>
    <row r="449" ht="14.25" customHeight="1" x14ac:dyDescent="0.35"/>
    <row r="450" ht="14.25" customHeight="1" x14ac:dyDescent="0.35"/>
    <row r="451" ht="14.25" customHeight="1" x14ac:dyDescent="0.35"/>
    <row r="452" ht="14.25" customHeight="1" x14ac:dyDescent="0.35"/>
    <row r="453" ht="14.25" customHeight="1" x14ac:dyDescent="0.35"/>
    <row r="454" ht="14.25" customHeight="1" x14ac:dyDescent="0.35"/>
    <row r="455" ht="14.25" customHeight="1" x14ac:dyDescent="0.35"/>
    <row r="456" ht="14.25" customHeight="1" x14ac:dyDescent="0.35"/>
    <row r="457" ht="14.25" customHeight="1" x14ac:dyDescent="0.35"/>
    <row r="458" ht="14.25" customHeight="1" x14ac:dyDescent="0.35"/>
    <row r="459" ht="14.25" customHeight="1" x14ac:dyDescent="0.35"/>
    <row r="460" ht="14.25" customHeight="1" x14ac:dyDescent="0.35"/>
    <row r="461" ht="14.25" customHeight="1" x14ac:dyDescent="0.35"/>
    <row r="462" ht="14.25" customHeight="1" x14ac:dyDescent="0.35"/>
    <row r="463" ht="14.25" customHeight="1" x14ac:dyDescent="0.35"/>
    <row r="464" ht="14.25" customHeight="1" x14ac:dyDescent="0.35"/>
    <row r="465" ht="14.25" customHeight="1" x14ac:dyDescent="0.35"/>
    <row r="466" ht="14.25" customHeight="1" x14ac:dyDescent="0.35"/>
    <row r="467" ht="14.25" customHeight="1" x14ac:dyDescent="0.35"/>
    <row r="468" ht="14.25" customHeight="1" x14ac:dyDescent="0.35"/>
    <row r="469" ht="14.25" customHeight="1" x14ac:dyDescent="0.35"/>
    <row r="470" ht="14.25" customHeight="1" x14ac:dyDescent="0.35"/>
    <row r="471" ht="14.25" customHeight="1" x14ac:dyDescent="0.35"/>
    <row r="472" ht="14.25" customHeight="1" x14ac:dyDescent="0.35"/>
    <row r="473" ht="14.25" customHeight="1" x14ac:dyDescent="0.35"/>
    <row r="474" ht="14.25" customHeight="1" x14ac:dyDescent="0.35"/>
    <row r="475" ht="14.25" customHeight="1" x14ac:dyDescent="0.35"/>
    <row r="476" ht="14.25" customHeight="1" x14ac:dyDescent="0.35"/>
    <row r="477" ht="14.25" customHeight="1" x14ac:dyDescent="0.35"/>
    <row r="478" ht="14.25" customHeight="1" x14ac:dyDescent="0.35"/>
    <row r="479" ht="14.25" customHeight="1" x14ac:dyDescent="0.35"/>
    <row r="480" ht="14.25" customHeight="1" x14ac:dyDescent="0.35"/>
    <row r="481" ht="14.25" customHeight="1" x14ac:dyDescent="0.35"/>
    <row r="482" ht="14.25" customHeight="1" x14ac:dyDescent="0.35"/>
    <row r="483" ht="14.25" customHeight="1" x14ac:dyDescent="0.35"/>
    <row r="484" ht="14.25" customHeight="1" x14ac:dyDescent="0.35"/>
    <row r="485" ht="14.25" customHeight="1" x14ac:dyDescent="0.35"/>
    <row r="486" ht="14.25" customHeight="1" x14ac:dyDescent="0.35"/>
    <row r="487" ht="14.25" customHeight="1" x14ac:dyDescent="0.35"/>
    <row r="488" ht="14.25" customHeight="1" x14ac:dyDescent="0.35"/>
    <row r="489" ht="14.25" customHeight="1" x14ac:dyDescent="0.35"/>
    <row r="490" ht="14.25" customHeight="1" x14ac:dyDescent="0.35"/>
    <row r="491" ht="14.25" customHeight="1" x14ac:dyDescent="0.35"/>
    <row r="492" ht="14.25" customHeight="1" x14ac:dyDescent="0.35"/>
    <row r="493" ht="14.25" customHeight="1" x14ac:dyDescent="0.35"/>
    <row r="494" ht="14.25" customHeight="1" x14ac:dyDescent="0.35"/>
    <row r="495" ht="14.25" customHeight="1" x14ac:dyDescent="0.35"/>
    <row r="496" ht="14.25" customHeight="1" x14ac:dyDescent="0.35"/>
    <row r="497" ht="14.25" customHeight="1" x14ac:dyDescent="0.35"/>
    <row r="498" ht="14.25" customHeight="1" x14ac:dyDescent="0.35"/>
    <row r="499" ht="14.25" customHeight="1" x14ac:dyDescent="0.35"/>
    <row r="500" ht="14.25" customHeight="1" x14ac:dyDescent="0.35"/>
    <row r="501" ht="14.25" customHeight="1" x14ac:dyDescent="0.35"/>
    <row r="502" ht="14.25" customHeight="1" x14ac:dyDescent="0.35"/>
    <row r="503" ht="14.25" customHeight="1" x14ac:dyDescent="0.35"/>
    <row r="504" ht="14.25" customHeight="1" x14ac:dyDescent="0.35"/>
    <row r="505" ht="14.25" customHeight="1" x14ac:dyDescent="0.35"/>
    <row r="506" ht="14.25" customHeight="1" x14ac:dyDescent="0.35"/>
    <row r="507" ht="14.25" customHeight="1" x14ac:dyDescent="0.35"/>
    <row r="508" ht="14.25" customHeight="1" x14ac:dyDescent="0.35"/>
    <row r="509" ht="14.25" customHeight="1" x14ac:dyDescent="0.35"/>
    <row r="510" ht="14.25" customHeight="1" x14ac:dyDescent="0.35"/>
    <row r="511" ht="14.25" customHeight="1" x14ac:dyDescent="0.35"/>
    <row r="512" ht="14.25" customHeight="1" x14ac:dyDescent="0.35"/>
    <row r="513" ht="14.25" customHeight="1" x14ac:dyDescent="0.35"/>
    <row r="514" ht="14.25" customHeight="1" x14ac:dyDescent="0.35"/>
    <row r="515" ht="14.25" customHeight="1" x14ac:dyDescent="0.35"/>
    <row r="516" ht="14.25" customHeight="1" x14ac:dyDescent="0.35"/>
    <row r="517" ht="14.25" customHeight="1" x14ac:dyDescent="0.35"/>
    <row r="518" ht="14.25" customHeight="1" x14ac:dyDescent="0.35"/>
    <row r="519" ht="14.25" customHeight="1" x14ac:dyDescent="0.35"/>
    <row r="520" ht="14.25" customHeight="1" x14ac:dyDescent="0.35"/>
    <row r="521" ht="14.25" customHeight="1" x14ac:dyDescent="0.35"/>
    <row r="522" ht="14.25" customHeight="1" x14ac:dyDescent="0.35"/>
    <row r="523" ht="14.25" customHeight="1" x14ac:dyDescent="0.35"/>
    <row r="524" ht="14.25" customHeight="1" x14ac:dyDescent="0.35"/>
    <row r="525" ht="14.25" customHeight="1" x14ac:dyDescent="0.35"/>
    <row r="526" ht="14.25" customHeight="1" x14ac:dyDescent="0.35"/>
    <row r="527" ht="14.25" customHeight="1" x14ac:dyDescent="0.35"/>
    <row r="528" ht="14.25" customHeight="1" x14ac:dyDescent="0.35"/>
    <row r="529" ht="14.25" customHeight="1" x14ac:dyDescent="0.35"/>
    <row r="530" ht="14.25" customHeight="1" x14ac:dyDescent="0.35"/>
    <row r="531" ht="14.25" customHeight="1" x14ac:dyDescent="0.35"/>
    <row r="532" ht="14.25" customHeight="1" x14ac:dyDescent="0.35"/>
    <row r="533" ht="14.25" customHeight="1" x14ac:dyDescent="0.35"/>
    <row r="534" ht="14.25" customHeight="1" x14ac:dyDescent="0.35"/>
    <row r="535" ht="14.25" customHeight="1" x14ac:dyDescent="0.35"/>
    <row r="536" ht="14.25" customHeight="1" x14ac:dyDescent="0.35"/>
    <row r="537" ht="14.25" customHeight="1" x14ac:dyDescent="0.35"/>
    <row r="538" ht="14.25" customHeight="1" x14ac:dyDescent="0.35"/>
    <row r="539" ht="14.25" customHeight="1" x14ac:dyDescent="0.35"/>
    <row r="540" ht="14.25" customHeight="1" x14ac:dyDescent="0.35"/>
    <row r="541" ht="14.25" customHeight="1" x14ac:dyDescent="0.35"/>
    <row r="542" ht="14.25" customHeight="1" x14ac:dyDescent="0.35"/>
    <row r="543" ht="14.25" customHeight="1" x14ac:dyDescent="0.35"/>
    <row r="544" ht="14.25" customHeight="1" x14ac:dyDescent="0.35"/>
    <row r="545" ht="14.25" customHeight="1" x14ac:dyDescent="0.35"/>
    <row r="546" ht="14.25" customHeight="1" x14ac:dyDescent="0.35"/>
    <row r="547" ht="14.25" customHeight="1" x14ac:dyDescent="0.35"/>
    <row r="548" ht="14.25" customHeight="1" x14ac:dyDescent="0.35"/>
    <row r="549" ht="14.25" customHeight="1" x14ac:dyDescent="0.35"/>
    <row r="550" ht="14.25" customHeight="1" x14ac:dyDescent="0.35"/>
    <row r="551" ht="14.25" customHeight="1" x14ac:dyDescent="0.35"/>
    <row r="552" ht="14.25" customHeight="1" x14ac:dyDescent="0.35"/>
    <row r="553" ht="14.25" customHeight="1" x14ac:dyDescent="0.35"/>
    <row r="554" ht="14.25" customHeight="1" x14ac:dyDescent="0.35"/>
    <row r="555" ht="14.25" customHeight="1" x14ac:dyDescent="0.35"/>
    <row r="556" ht="14.25" customHeight="1" x14ac:dyDescent="0.35"/>
    <row r="557" ht="14.25" customHeight="1" x14ac:dyDescent="0.35"/>
    <row r="558" ht="14.25" customHeight="1" x14ac:dyDescent="0.35"/>
    <row r="559" ht="14.25" customHeight="1" x14ac:dyDescent="0.35"/>
    <row r="560" ht="14.25" customHeight="1" x14ac:dyDescent="0.35"/>
    <row r="561" ht="14.25" customHeight="1" x14ac:dyDescent="0.35"/>
    <row r="562" ht="14.25" customHeight="1" x14ac:dyDescent="0.35"/>
    <row r="563" ht="14.25" customHeight="1" x14ac:dyDescent="0.35"/>
    <row r="564" ht="14.25" customHeight="1" x14ac:dyDescent="0.35"/>
    <row r="565" ht="14.25" customHeight="1" x14ac:dyDescent="0.35"/>
    <row r="566" ht="14.25" customHeight="1" x14ac:dyDescent="0.35"/>
    <row r="567" ht="14.25" customHeight="1" x14ac:dyDescent="0.35"/>
    <row r="568" ht="14.25" customHeight="1" x14ac:dyDescent="0.35"/>
    <row r="569" ht="14.25" customHeight="1" x14ac:dyDescent="0.35"/>
    <row r="570" ht="14.25" customHeight="1" x14ac:dyDescent="0.35"/>
    <row r="571" ht="14.25" customHeight="1" x14ac:dyDescent="0.35"/>
    <row r="572" ht="14.25" customHeight="1" x14ac:dyDescent="0.35"/>
    <row r="573" ht="14.25" customHeight="1" x14ac:dyDescent="0.35"/>
    <row r="574" ht="14.25" customHeight="1" x14ac:dyDescent="0.35"/>
    <row r="575" ht="14.25" customHeight="1" x14ac:dyDescent="0.35"/>
    <row r="576" ht="14.25" customHeight="1" x14ac:dyDescent="0.35"/>
    <row r="577" ht="14.25" customHeight="1" x14ac:dyDescent="0.35"/>
    <row r="578" ht="14.25" customHeight="1" x14ac:dyDescent="0.35"/>
    <row r="579" ht="14.25" customHeight="1" x14ac:dyDescent="0.35"/>
    <row r="580" ht="14.25" customHeight="1" x14ac:dyDescent="0.35"/>
    <row r="581" ht="14.25" customHeight="1" x14ac:dyDescent="0.35"/>
    <row r="582" ht="14.25" customHeight="1" x14ac:dyDescent="0.35"/>
    <row r="583" ht="14.25" customHeight="1" x14ac:dyDescent="0.35"/>
    <row r="584" ht="14.25" customHeight="1" x14ac:dyDescent="0.35"/>
    <row r="585" ht="14.25" customHeight="1" x14ac:dyDescent="0.35"/>
    <row r="586" ht="14.25" customHeight="1" x14ac:dyDescent="0.35"/>
    <row r="587" ht="14.25" customHeight="1" x14ac:dyDescent="0.35"/>
    <row r="588" ht="14.25" customHeight="1" x14ac:dyDescent="0.35"/>
    <row r="589" ht="14.25" customHeight="1" x14ac:dyDescent="0.35"/>
    <row r="590" ht="14.25" customHeight="1" x14ac:dyDescent="0.35"/>
    <row r="591" ht="14.25" customHeight="1" x14ac:dyDescent="0.35"/>
    <row r="592" ht="14.25" customHeight="1" x14ac:dyDescent="0.35"/>
    <row r="593" ht="14.25" customHeight="1" x14ac:dyDescent="0.35"/>
    <row r="594" ht="14.25" customHeight="1" x14ac:dyDescent="0.35"/>
    <row r="595" ht="14.25" customHeight="1" x14ac:dyDescent="0.35"/>
    <row r="596" ht="14.25" customHeight="1" x14ac:dyDescent="0.35"/>
    <row r="597" ht="14.25" customHeight="1" x14ac:dyDescent="0.35"/>
    <row r="598" ht="14.25" customHeight="1" x14ac:dyDescent="0.35"/>
    <row r="599" ht="14.25" customHeight="1" x14ac:dyDescent="0.35"/>
    <row r="600" ht="14.25" customHeight="1" x14ac:dyDescent="0.35"/>
    <row r="601" ht="14.25" customHeight="1" x14ac:dyDescent="0.35"/>
    <row r="602" ht="14.25" customHeight="1" x14ac:dyDescent="0.35"/>
    <row r="603" ht="14.25" customHeight="1" x14ac:dyDescent="0.35"/>
    <row r="604" ht="14.25" customHeight="1" x14ac:dyDescent="0.35"/>
    <row r="605" ht="14.25" customHeight="1" x14ac:dyDescent="0.35"/>
    <row r="606" ht="14.25" customHeight="1" x14ac:dyDescent="0.35"/>
    <row r="607" ht="14.25" customHeight="1" x14ac:dyDescent="0.35"/>
    <row r="608" ht="14.25" customHeight="1" x14ac:dyDescent="0.35"/>
    <row r="609" ht="14.25" customHeight="1" x14ac:dyDescent="0.35"/>
    <row r="610" ht="14.25" customHeight="1" x14ac:dyDescent="0.35"/>
    <row r="611" ht="14.25" customHeight="1" x14ac:dyDescent="0.35"/>
    <row r="612" ht="14.25" customHeight="1" x14ac:dyDescent="0.35"/>
    <row r="613" ht="14.25" customHeight="1" x14ac:dyDescent="0.35"/>
    <row r="614" ht="14.25" customHeight="1" x14ac:dyDescent="0.35"/>
    <row r="615" ht="14.25" customHeight="1" x14ac:dyDescent="0.35"/>
    <row r="616" ht="14.25" customHeight="1" x14ac:dyDescent="0.35"/>
    <row r="617" ht="14.25" customHeight="1" x14ac:dyDescent="0.35"/>
    <row r="618" ht="14.25" customHeight="1" x14ac:dyDescent="0.35"/>
    <row r="619" ht="14.25" customHeight="1" x14ac:dyDescent="0.35"/>
    <row r="620" ht="14.25" customHeight="1" x14ac:dyDescent="0.35"/>
    <row r="621" ht="14.25" customHeight="1" x14ac:dyDescent="0.35"/>
    <row r="622" ht="14.25" customHeight="1" x14ac:dyDescent="0.35"/>
    <row r="623" ht="14.25" customHeight="1" x14ac:dyDescent="0.35"/>
    <row r="624" ht="14.25" customHeight="1" x14ac:dyDescent="0.35"/>
    <row r="625" ht="14.25" customHeight="1" x14ac:dyDescent="0.35"/>
    <row r="626" ht="14.25" customHeight="1" x14ac:dyDescent="0.35"/>
    <row r="627" ht="14.25" customHeight="1" x14ac:dyDescent="0.35"/>
    <row r="628" ht="14.25" customHeight="1" x14ac:dyDescent="0.35"/>
    <row r="629" ht="14.25" customHeight="1" x14ac:dyDescent="0.35"/>
    <row r="630" ht="14.25" customHeight="1" x14ac:dyDescent="0.35"/>
    <row r="631" ht="14.25" customHeight="1" x14ac:dyDescent="0.35"/>
    <row r="632" ht="14.25" customHeight="1" x14ac:dyDescent="0.35"/>
    <row r="633" ht="14.25" customHeight="1" x14ac:dyDescent="0.35"/>
    <row r="634" ht="14.25" customHeight="1" x14ac:dyDescent="0.35"/>
    <row r="635" ht="14.25" customHeight="1" x14ac:dyDescent="0.35"/>
    <row r="636" ht="14.25" customHeight="1" x14ac:dyDescent="0.35"/>
    <row r="637" ht="14.25" customHeight="1" x14ac:dyDescent="0.35"/>
    <row r="638" ht="14.25" customHeight="1" x14ac:dyDescent="0.35"/>
    <row r="639" ht="14.25" customHeight="1" x14ac:dyDescent="0.35"/>
    <row r="640" ht="14.25" customHeight="1" x14ac:dyDescent="0.35"/>
    <row r="641" ht="14.25" customHeight="1" x14ac:dyDescent="0.35"/>
    <row r="642" ht="14.25" customHeight="1" x14ac:dyDescent="0.35"/>
    <row r="643" ht="14.25" customHeight="1" x14ac:dyDescent="0.35"/>
    <row r="644" ht="14.25" customHeight="1" x14ac:dyDescent="0.35"/>
    <row r="645" ht="14.25" customHeight="1" x14ac:dyDescent="0.35"/>
    <row r="646" ht="14.25" customHeight="1" x14ac:dyDescent="0.35"/>
    <row r="647" ht="14.25" customHeight="1" x14ac:dyDescent="0.35"/>
    <row r="648" ht="14.25" customHeight="1" x14ac:dyDescent="0.35"/>
    <row r="649" ht="14.25" customHeight="1" x14ac:dyDescent="0.35"/>
    <row r="650" ht="14.25" customHeight="1" x14ac:dyDescent="0.35"/>
    <row r="651" ht="14.25" customHeight="1" x14ac:dyDescent="0.35"/>
    <row r="652" ht="14.25" customHeight="1" x14ac:dyDescent="0.35"/>
    <row r="653" ht="14.25" customHeight="1" x14ac:dyDescent="0.35"/>
    <row r="654" ht="14.25" customHeight="1" x14ac:dyDescent="0.35"/>
    <row r="655" ht="14.25" customHeight="1" x14ac:dyDescent="0.35"/>
    <row r="656" ht="14.25" customHeight="1" x14ac:dyDescent="0.35"/>
    <row r="657" ht="14.25" customHeight="1" x14ac:dyDescent="0.35"/>
    <row r="658" ht="14.25" customHeight="1" x14ac:dyDescent="0.35"/>
    <row r="659" ht="14.25" customHeight="1" x14ac:dyDescent="0.35"/>
    <row r="660" ht="14.25" customHeight="1" x14ac:dyDescent="0.35"/>
    <row r="661" ht="14.25" customHeight="1" x14ac:dyDescent="0.35"/>
    <row r="662" ht="14.25" customHeight="1" x14ac:dyDescent="0.35"/>
    <row r="663" ht="14.25" customHeight="1" x14ac:dyDescent="0.35"/>
    <row r="664" ht="14.25" customHeight="1" x14ac:dyDescent="0.35"/>
    <row r="665" ht="14.25" customHeight="1" x14ac:dyDescent="0.35"/>
    <row r="666" ht="14.25" customHeight="1" x14ac:dyDescent="0.35"/>
    <row r="667" ht="14.25" customHeight="1" x14ac:dyDescent="0.35"/>
    <row r="668" ht="14.25" customHeight="1" x14ac:dyDescent="0.35"/>
    <row r="669" ht="14.25" customHeight="1" x14ac:dyDescent="0.35"/>
    <row r="670" ht="14.25" customHeight="1" x14ac:dyDescent="0.35"/>
    <row r="671" ht="14.25" customHeight="1" x14ac:dyDescent="0.35"/>
    <row r="672" ht="14.25" customHeight="1" x14ac:dyDescent="0.35"/>
    <row r="673" ht="14.25" customHeight="1" x14ac:dyDescent="0.35"/>
    <row r="674" ht="14.25" customHeight="1" x14ac:dyDescent="0.35"/>
    <row r="675" ht="14.25" customHeight="1" x14ac:dyDescent="0.35"/>
    <row r="676" ht="14.25" customHeight="1" x14ac:dyDescent="0.35"/>
    <row r="677" ht="14.25" customHeight="1" x14ac:dyDescent="0.35"/>
    <row r="678" ht="14.25" customHeight="1" x14ac:dyDescent="0.35"/>
    <row r="679" ht="14.25" customHeight="1" x14ac:dyDescent="0.35"/>
    <row r="680" ht="14.25" customHeight="1" x14ac:dyDescent="0.35"/>
    <row r="681" ht="14.25" customHeight="1" x14ac:dyDescent="0.35"/>
    <row r="682" ht="14.25" customHeight="1" x14ac:dyDescent="0.35"/>
    <row r="683" ht="14.25" customHeight="1" x14ac:dyDescent="0.35"/>
    <row r="684" ht="14.25" customHeight="1" x14ac:dyDescent="0.35"/>
    <row r="685" ht="14.25" customHeight="1" x14ac:dyDescent="0.35"/>
    <row r="686" ht="14.25" customHeight="1" x14ac:dyDescent="0.35"/>
    <row r="687" ht="14.25" customHeight="1" x14ac:dyDescent="0.35"/>
    <row r="688" ht="14.25" customHeight="1" x14ac:dyDescent="0.35"/>
    <row r="689" ht="14.25" customHeight="1" x14ac:dyDescent="0.35"/>
    <row r="690" ht="14.25" customHeight="1" x14ac:dyDescent="0.35"/>
    <row r="691" ht="14.25" customHeight="1" x14ac:dyDescent="0.35"/>
    <row r="692" ht="14.25" customHeight="1" x14ac:dyDescent="0.35"/>
    <row r="693" ht="14.25" customHeight="1" x14ac:dyDescent="0.35"/>
    <row r="694" ht="14.25" customHeight="1" x14ac:dyDescent="0.35"/>
    <row r="695" ht="14.25" customHeight="1" x14ac:dyDescent="0.35"/>
    <row r="696" ht="14.25" customHeight="1" x14ac:dyDescent="0.35"/>
    <row r="697" ht="14.25" customHeight="1" x14ac:dyDescent="0.35"/>
    <row r="698" ht="14.25" customHeight="1" x14ac:dyDescent="0.35"/>
    <row r="699" ht="14.25" customHeight="1" x14ac:dyDescent="0.35"/>
    <row r="700" ht="14.25" customHeight="1" x14ac:dyDescent="0.35"/>
    <row r="701" ht="14.25" customHeight="1" x14ac:dyDescent="0.35"/>
    <row r="702" ht="14.25" customHeight="1" x14ac:dyDescent="0.35"/>
    <row r="703" ht="14.25" customHeight="1" x14ac:dyDescent="0.35"/>
    <row r="704" ht="14.25" customHeight="1" x14ac:dyDescent="0.35"/>
    <row r="705" ht="14.25" customHeight="1" x14ac:dyDescent="0.35"/>
    <row r="706" ht="14.25" customHeight="1" x14ac:dyDescent="0.35"/>
    <row r="707" ht="14.25" customHeight="1" x14ac:dyDescent="0.35"/>
    <row r="708" ht="14.25" customHeight="1" x14ac:dyDescent="0.35"/>
    <row r="709" ht="14.25" customHeight="1" x14ac:dyDescent="0.35"/>
    <row r="710" ht="14.25" customHeight="1" x14ac:dyDescent="0.35"/>
    <row r="711" ht="14.25" customHeight="1" x14ac:dyDescent="0.35"/>
    <row r="712" ht="14.25" customHeight="1" x14ac:dyDescent="0.35"/>
    <row r="713" ht="14.25" customHeight="1" x14ac:dyDescent="0.35"/>
    <row r="714" ht="14.25" customHeight="1" x14ac:dyDescent="0.35"/>
    <row r="715" ht="14.25" customHeight="1" x14ac:dyDescent="0.35"/>
    <row r="716" ht="14.25" customHeight="1" x14ac:dyDescent="0.35"/>
    <row r="717" ht="14.25" customHeight="1" x14ac:dyDescent="0.35"/>
    <row r="718" ht="14.25" customHeight="1" x14ac:dyDescent="0.35"/>
    <row r="719" ht="14.25" customHeight="1" x14ac:dyDescent="0.35"/>
    <row r="720" ht="14.25" customHeight="1" x14ac:dyDescent="0.35"/>
    <row r="721" ht="14.25" customHeight="1" x14ac:dyDescent="0.35"/>
    <row r="722" ht="14.25" customHeight="1" x14ac:dyDescent="0.35"/>
    <row r="723" ht="14.25" customHeight="1" x14ac:dyDescent="0.35"/>
    <row r="724" ht="14.25" customHeight="1" x14ac:dyDescent="0.35"/>
    <row r="725" ht="14.25" customHeight="1" x14ac:dyDescent="0.35"/>
    <row r="726" ht="14.25" customHeight="1" x14ac:dyDescent="0.35"/>
    <row r="727" ht="14.25" customHeight="1" x14ac:dyDescent="0.35"/>
    <row r="728" ht="14.25" customHeight="1" x14ac:dyDescent="0.35"/>
    <row r="729" ht="14.25" customHeight="1" x14ac:dyDescent="0.35"/>
    <row r="730" ht="14.25" customHeight="1" x14ac:dyDescent="0.35"/>
    <row r="731" ht="14.25" customHeight="1" x14ac:dyDescent="0.35"/>
    <row r="732" ht="14.25" customHeight="1" x14ac:dyDescent="0.35"/>
    <row r="733" ht="14.25" customHeight="1" x14ac:dyDescent="0.35"/>
    <row r="734" ht="14.25" customHeight="1" x14ac:dyDescent="0.35"/>
    <row r="735" ht="14.25" customHeight="1" x14ac:dyDescent="0.35"/>
    <row r="736" ht="14.25" customHeight="1" x14ac:dyDescent="0.35"/>
    <row r="737" ht="14.25" customHeight="1" x14ac:dyDescent="0.35"/>
    <row r="738" ht="14.25" customHeight="1" x14ac:dyDescent="0.35"/>
    <row r="739" ht="14.25" customHeight="1" x14ac:dyDescent="0.35"/>
    <row r="740" ht="14.25" customHeight="1" x14ac:dyDescent="0.35"/>
    <row r="741" ht="14.25" customHeight="1" x14ac:dyDescent="0.35"/>
    <row r="742" ht="14.25" customHeight="1" x14ac:dyDescent="0.35"/>
    <row r="743" ht="14.25" customHeight="1" x14ac:dyDescent="0.35"/>
    <row r="744" ht="14.25" customHeight="1" x14ac:dyDescent="0.35"/>
    <row r="745" ht="14.25" customHeight="1" x14ac:dyDescent="0.35"/>
    <row r="746" ht="14.25" customHeight="1" x14ac:dyDescent="0.35"/>
    <row r="747" ht="14.25" customHeight="1" x14ac:dyDescent="0.35"/>
    <row r="748" ht="14.25" customHeight="1" x14ac:dyDescent="0.35"/>
    <row r="749" ht="14.25" customHeight="1" x14ac:dyDescent="0.35"/>
    <row r="750" ht="14.25" customHeight="1" x14ac:dyDescent="0.35"/>
    <row r="751" ht="14.25" customHeight="1" x14ac:dyDescent="0.35"/>
    <row r="752" ht="14.25" customHeight="1" x14ac:dyDescent="0.35"/>
    <row r="753" ht="14.25" customHeight="1" x14ac:dyDescent="0.35"/>
    <row r="754" ht="14.25" customHeight="1" x14ac:dyDescent="0.35"/>
    <row r="755" ht="14.25" customHeight="1" x14ac:dyDescent="0.35"/>
    <row r="756" ht="14.25" customHeight="1" x14ac:dyDescent="0.35"/>
    <row r="757" ht="14.25" customHeight="1" x14ac:dyDescent="0.35"/>
    <row r="758" ht="14.25" customHeight="1" x14ac:dyDescent="0.35"/>
    <row r="759" ht="14.25" customHeight="1" x14ac:dyDescent="0.35"/>
    <row r="760" ht="14.25" customHeight="1" x14ac:dyDescent="0.35"/>
    <row r="761" ht="14.25" customHeight="1" x14ac:dyDescent="0.35"/>
    <row r="762" ht="14.25" customHeight="1" x14ac:dyDescent="0.35"/>
    <row r="763" ht="14.25" customHeight="1" x14ac:dyDescent="0.35"/>
    <row r="764" ht="14.25" customHeight="1" x14ac:dyDescent="0.35"/>
    <row r="765" ht="14.25" customHeight="1" x14ac:dyDescent="0.35"/>
    <row r="766" ht="14.25" customHeight="1" x14ac:dyDescent="0.35"/>
    <row r="767" ht="14.25" customHeight="1" x14ac:dyDescent="0.35"/>
    <row r="768" ht="14.25" customHeight="1" x14ac:dyDescent="0.35"/>
    <row r="769" ht="14.25" customHeight="1" x14ac:dyDescent="0.35"/>
    <row r="770" ht="14.25" customHeight="1" x14ac:dyDescent="0.35"/>
    <row r="771" ht="14.25" customHeight="1" x14ac:dyDescent="0.35"/>
    <row r="772" ht="14.25" customHeight="1" x14ac:dyDescent="0.35"/>
    <row r="773" ht="14.25" customHeight="1" x14ac:dyDescent="0.35"/>
    <row r="774" ht="14.25" customHeight="1" x14ac:dyDescent="0.35"/>
    <row r="775" ht="14.25" customHeight="1" x14ac:dyDescent="0.35"/>
    <row r="776" ht="14.25" customHeight="1" x14ac:dyDescent="0.35"/>
    <row r="777" ht="14.25" customHeight="1" x14ac:dyDescent="0.35"/>
    <row r="778" ht="14.25" customHeight="1" x14ac:dyDescent="0.35"/>
    <row r="779" ht="14.25" customHeight="1" x14ac:dyDescent="0.35"/>
    <row r="780" ht="14.25" customHeight="1" x14ac:dyDescent="0.35"/>
    <row r="781" ht="14.25" customHeight="1" x14ac:dyDescent="0.35"/>
    <row r="782" ht="14.25" customHeight="1" x14ac:dyDescent="0.35"/>
    <row r="783" ht="14.25" customHeight="1" x14ac:dyDescent="0.35"/>
    <row r="784" ht="14.25" customHeight="1" x14ac:dyDescent="0.35"/>
    <row r="785" ht="14.25" customHeight="1" x14ac:dyDescent="0.35"/>
    <row r="786" ht="14.25" customHeight="1" x14ac:dyDescent="0.35"/>
    <row r="787" ht="14.25" customHeight="1" x14ac:dyDescent="0.35"/>
    <row r="788" ht="14.25" customHeight="1" x14ac:dyDescent="0.35"/>
    <row r="789" ht="14.25" customHeight="1" x14ac:dyDescent="0.35"/>
    <row r="790" ht="14.25" customHeight="1" x14ac:dyDescent="0.35"/>
    <row r="791" ht="14.25" customHeight="1" x14ac:dyDescent="0.35"/>
    <row r="792" ht="14.25" customHeight="1" x14ac:dyDescent="0.35"/>
    <row r="793" ht="14.25" customHeight="1" x14ac:dyDescent="0.35"/>
    <row r="794" ht="14.25" customHeight="1" x14ac:dyDescent="0.35"/>
    <row r="795" ht="14.25" customHeight="1" x14ac:dyDescent="0.35"/>
    <row r="796" ht="14.25" customHeight="1" x14ac:dyDescent="0.35"/>
    <row r="797" ht="14.25" customHeight="1" x14ac:dyDescent="0.35"/>
    <row r="798" ht="14.25" customHeight="1" x14ac:dyDescent="0.35"/>
    <row r="799" ht="14.25" customHeight="1" x14ac:dyDescent="0.35"/>
    <row r="800" ht="14.25" customHeight="1" x14ac:dyDescent="0.35"/>
    <row r="801" ht="14.25" customHeight="1" x14ac:dyDescent="0.35"/>
    <row r="802" ht="14.25" customHeight="1" x14ac:dyDescent="0.35"/>
    <row r="803" ht="14.25" customHeight="1" x14ac:dyDescent="0.35"/>
    <row r="804" ht="14.25" customHeight="1" x14ac:dyDescent="0.35"/>
    <row r="805" ht="14.25" customHeight="1" x14ac:dyDescent="0.35"/>
    <row r="806" ht="14.25" customHeight="1" x14ac:dyDescent="0.35"/>
    <row r="807" ht="14.25" customHeight="1" x14ac:dyDescent="0.35"/>
    <row r="808" ht="14.25" customHeight="1" x14ac:dyDescent="0.35"/>
    <row r="809" ht="14.25" customHeight="1" x14ac:dyDescent="0.35"/>
    <row r="810" ht="14.25" customHeight="1" x14ac:dyDescent="0.35"/>
    <row r="811" ht="14.25" customHeight="1" x14ac:dyDescent="0.35"/>
    <row r="812" ht="14.25" customHeight="1" x14ac:dyDescent="0.35"/>
    <row r="813" ht="14.25" customHeight="1" x14ac:dyDescent="0.35"/>
    <row r="814" ht="14.25" customHeight="1" x14ac:dyDescent="0.35"/>
    <row r="815" ht="14.25" customHeight="1" x14ac:dyDescent="0.35"/>
    <row r="816" ht="14.25" customHeight="1" x14ac:dyDescent="0.35"/>
    <row r="817" ht="14.25" customHeight="1" x14ac:dyDescent="0.35"/>
    <row r="818" ht="14.25" customHeight="1" x14ac:dyDescent="0.35"/>
    <row r="819" ht="14.25" customHeight="1" x14ac:dyDescent="0.35"/>
    <row r="820" ht="14.25" customHeight="1" x14ac:dyDescent="0.35"/>
    <row r="821" ht="14.25" customHeight="1" x14ac:dyDescent="0.35"/>
    <row r="822" ht="14.25" customHeight="1" x14ac:dyDescent="0.35"/>
    <row r="823" ht="14.25" customHeight="1" x14ac:dyDescent="0.35"/>
    <row r="824" ht="14.25" customHeight="1" x14ac:dyDescent="0.35"/>
    <row r="825" ht="14.25" customHeight="1" x14ac:dyDescent="0.35"/>
    <row r="826" ht="14.25" customHeight="1" x14ac:dyDescent="0.35"/>
    <row r="827" ht="14.25" customHeight="1" x14ac:dyDescent="0.35"/>
    <row r="828" ht="14.25" customHeight="1" x14ac:dyDescent="0.35"/>
    <row r="829" ht="14.25" customHeight="1" x14ac:dyDescent="0.35"/>
    <row r="830" ht="14.25" customHeight="1" x14ac:dyDescent="0.35"/>
    <row r="831" ht="14.25" customHeight="1" x14ac:dyDescent="0.35"/>
    <row r="832" ht="14.25" customHeight="1" x14ac:dyDescent="0.35"/>
    <row r="833" ht="14.25" customHeight="1" x14ac:dyDescent="0.35"/>
    <row r="834" ht="14.25" customHeight="1" x14ac:dyDescent="0.35"/>
    <row r="835" ht="14.25" customHeight="1" x14ac:dyDescent="0.35"/>
    <row r="836" ht="14.25" customHeight="1" x14ac:dyDescent="0.35"/>
    <row r="837" ht="14.25" customHeight="1" x14ac:dyDescent="0.35"/>
    <row r="838" ht="14.25" customHeight="1" x14ac:dyDescent="0.35"/>
    <row r="839" ht="14.25" customHeight="1" x14ac:dyDescent="0.35"/>
    <row r="840" ht="14.25" customHeight="1" x14ac:dyDescent="0.35"/>
    <row r="841" ht="14.25" customHeight="1" x14ac:dyDescent="0.35"/>
    <row r="842" ht="14.25" customHeight="1" x14ac:dyDescent="0.35"/>
    <row r="843" ht="14.25" customHeight="1" x14ac:dyDescent="0.35"/>
    <row r="844" ht="14.25" customHeight="1" x14ac:dyDescent="0.35"/>
    <row r="845" ht="14.25" customHeight="1" x14ac:dyDescent="0.35"/>
    <row r="846" ht="14.25" customHeight="1" x14ac:dyDescent="0.35"/>
    <row r="847" ht="14.25" customHeight="1" x14ac:dyDescent="0.35"/>
    <row r="848" ht="14.25" customHeight="1" x14ac:dyDescent="0.35"/>
    <row r="849" ht="14.25" customHeight="1" x14ac:dyDescent="0.35"/>
    <row r="850" ht="14.25" customHeight="1" x14ac:dyDescent="0.35"/>
    <row r="851" ht="14.25" customHeight="1" x14ac:dyDescent="0.35"/>
    <row r="852" ht="14.25" customHeight="1" x14ac:dyDescent="0.35"/>
    <row r="853" ht="14.25" customHeight="1" x14ac:dyDescent="0.35"/>
    <row r="854" ht="14.25" customHeight="1" x14ac:dyDescent="0.35"/>
    <row r="855" ht="14.25" customHeight="1" x14ac:dyDescent="0.35"/>
    <row r="856" ht="14.25" customHeight="1" x14ac:dyDescent="0.35"/>
    <row r="857" ht="14.25" customHeight="1" x14ac:dyDescent="0.35"/>
    <row r="858" ht="14.25" customHeight="1" x14ac:dyDescent="0.35"/>
    <row r="859" ht="14.25" customHeight="1" x14ac:dyDescent="0.35"/>
    <row r="860" ht="14.25" customHeight="1" x14ac:dyDescent="0.35"/>
    <row r="861" ht="14.25" customHeight="1" x14ac:dyDescent="0.35"/>
    <row r="862" ht="14.25" customHeight="1" x14ac:dyDescent="0.35"/>
    <row r="863" ht="14.25" customHeight="1" x14ac:dyDescent="0.35"/>
    <row r="864" ht="14.25" customHeight="1" x14ac:dyDescent="0.35"/>
    <row r="865" ht="14.25" customHeight="1" x14ac:dyDescent="0.35"/>
    <row r="866" ht="14.25" customHeight="1" x14ac:dyDescent="0.35"/>
    <row r="867" ht="14.25" customHeight="1" x14ac:dyDescent="0.35"/>
    <row r="868" ht="14.25" customHeight="1" x14ac:dyDescent="0.35"/>
    <row r="869" ht="14.25" customHeight="1" x14ac:dyDescent="0.35"/>
    <row r="870" ht="14.25" customHeight="1" x14ac:dyDescent="0.35"/>
    <row r="871" ht="14.25" customHeight="1" x14ac:dyDescent="0.35"/>
    <row r="872" ht="14.25" customHeight="1" x14ac:dyDescent="0.35"/>
    <row r="873" ht="14.25" customHeight="1" x14ac:dyDescent="0.35"/>
    <row r="874" ht="14.25" customHeight="1" x14ac:dyDescent="0.35"/>
    <row r="875" ht="14.25" customHeight="1" x14ac:dyDescent="0.35"/>
    <row r="876" ht="14.25" customHeight="1" x14ac:dyDescent="0.35"/>
    <row r="877" ht="14.25" customHeight="1" x14ac:dyDescent="0.35"/>
    <row r="878" ht="14.25" customHeight="1" x14ac:dyDescent="0.35"/>
    <row r="879" ht="14.25" customHeight="1" x14ac:dyDescent="0.35"/>
    <row r="880" ht="14.25" customHeight="1" x14ac:dyDescent="0.35"/>
    <row r="881" ht="14.25" customHeight="1" x14ac:dyDescent="0.35"/>
    <row r="882" ht="14.25" customHeight="1" x14ac:dyDescent="0.35"/>
    <row r="883" ht="14.25" customHeight="1" x14ac:dyDescent="0.35"/>
    <row r="884" ht="14.25" customHeight="1" x14ac:dyDescent="0.35"/>
    <row r="885" ht="14.25" customHeight="1" x14ac:dyDescent="0.35"/>
    <row r="886" ht="14.25" customHeight="1" x14ac:dyDescent="0.35"/>
    <row r="887" ht="14.25" customHeight="1" x14ac:dyDescent="0.35"/>
    <row r="888" ht="14.25" customHeight="1" x14ac:dyDescent="0.35"/>
    <row r="889" ht="14.25" customHeight="1" x14ac:dyDescent="0.35"/>
    <row r="890" ht="14.25" customHeight="1" x14ac:dyDescent="0.35"/>
    <row r="891" ht="14.25" customHeight="1" x14ac:dyDescent="0.35"/>
    <row r="892" ht="14.25" customHeight="1" x14ac:dyDescent="0.35"/>
    <row r="893" ht="14.25" customHeight="1" x14ac:dyDescent="0.35"/>
    <row r="894" ht="14.25" customHeight="1" x14ac:dyDescent="0.35"/>
    <row r="895" ht="14.25" customHeight="1" x14ac:dyDescent="0.35"/>
    <row r="896" ht="14.25" customHeight="1" x14ac:dyDescent="0.35"/>
    <row r="897" ht="14.25" customHeight="1" x14ac:dyDescent="0.35"/>
    <row r="898" ht="14.25" customHeight="1" x14ac:dyDescent="0.35"/>
    <row r="899" ht="14.25" customHeight="1" x14ac:dyDescent="0.35"/>
    <row r="900" ht="14.25" customHeight="1" x14ac:dyDescent="0.35"/>
    <row r="901" ht="14.25" customHeight="1" x14ac:dyDescent="0.35"/>
    <row r="902" ht="14.25" customHeight="1" x14ac:dyDescent="0.35"/>
    <row r="903" ht="14.25" customHeight="1" x14ac:dyDescent="0.35"/>
    <row r="904" ht="14.25" customHeight="1" x14ac:dyDescent="0.35"/>
    <row r="905" ht="14.25" customHeight="1" x14ac:dyDescent="0.35"/>
    <row r="906" ht="14.25" customHeight="1" x14ac:dyDescent="0.35"/>
    <row r="907" ht="14.25" customHeight="1" x14ac:dyDescent="0.35"/>
    <row r="908" ht="14.25" customHeight="1" x14ac:dyDescent="0.35"/>
    <row r="909" ht="14.25" customHeight="1" x14ac:dyDescent="0.35"/>
    <row r="910" ht="14.25" customHeight="1" x14ac:dyDescent="0.35"/>
    <row r="911" ht="14.25" customHeight="1" x14ac:dyDescent="0.35"/>
    <row r="912" ht="14.25" customHeight="1" x14ac:dyDescent="0.35"/>
    <row r="913" ht="14.25" customHeight="1" x14ac:dyDescent="0.35"/>
    <row r="914" ht="14.25" customHeight="1" x14ac:dyDescent="0.35"/>
    <row r="915" ht="14.25" customHeight="1" x14ac:dyDescent="0.35"/>
    <row r="916" ht="14.25" customHeight="1" x14ac:dyDescent="0.35"/>
    <row r="917" ht="14.25" customHeight="1" x14ac:dyDescent="0.35"/>
    <row r="918" ht="14.25" customHeight="1" x14ac:dyDescent="0.35"/>
    <row r="919" ht="14.25" customHeight="1" x14ac:dyDescent="0.35"/>
    <row r="920" ht="14.25" customHeight="1" x14ac:dyDescent="0.35"/>
    <row r="921" ht="14.25" customHeight="1" x14ac:dyDescent="0.35"/>
    <row r="922" ht="14.25" customHeight="1" x14ac:dyDescent="0.35"/>
    <row r="923" ht="14.25" customHeight="1" x14ac:dyDescent="0.35"/>
    <row r="924" ht="14.25" customHeight="1" x14ac:dyDescent="0.35"/>
    <row r="925" ht="14.25" customHeight="1" x14ac:dyDescent="0.35"/>
    <row r="926" ht="14.25" customHeight="1" x14ac:dyDescent="0.35"/>
    <row r="927" ht="14.25" customHeight="1" x14ac:dyDescent="0.35"/>
    <row r="928" ht="14.25" customHeight="1" x14ac:dyDescent="0.35"/>
    <row r="929" ht="14.25" customHeight="1" x14ac:dyDescent="0.35"/>
    <row r="930" ht="14.25" customHeight="1" x14ac:dyDescent="0.35"/>
    <row r="931" ht="14.25" customHeight="1" x14ac:dyDescent="0.35"/>
    <row r="932" ht="14.25" customHeight="1" x14ac:dyDescent="0.35"/>
    <row r="933" ht="14.25" customHeight="1" x14ac:dyDescent="0.35"/>
    <row r="934" ht="14.25" customHeight="1" x14ac:dyDescent="0.35"/>
    <row r="935" ht="14.25" customHeight="1" x14ac:dyDescent="0.35"/>
    <row r="936" ht="14.25" customHeight="1" x14ac:dyDescent="0.35"/>
    <row r="937" ht="14.25" customHeight="1" x14ac:dyDescent="0.35"/>
    <row r="938" ht="14.25" customHeight="1" x14ac:dyDescent="0.35"/>
    <row r="939" ht="14.25" customHeight="1" x14ac:dyDescent="0.35"/>
    <row r="940" ht="14.25" customHeight="1" x14ac:dyDescent="0.35"/>
    <row r="941" ht="14.25" customHeight="1" x14ac:dyDescent="0.35"/>
    <row r="942" ht="14.25" customHeight="1" x14ac:dyDescent="0.35"/>
    <row r="943" ht="14.25" customHeight="1" x14ac:dyDescent="0.35"/>
    <row r="944" ht="14.25" customHeight="1" x14ac:dyDescent="0.35"/>
    <row r="945" ht="14.25" customHeight="1" x14ac:dyDescent="0.35"/>
    <row r="946" ht="14.25" customHeight="1" x14ac:dyDescent="0.35"/>
    <row r="947" ht="14.25" customHeight="1" x14ac:dyDescent="0.35"/>
    <row r="948" ht="14.25" customHeight="1" x14ac:dyDescent="0.35"/>
    <row r="949" ht="14.25" customHeight="1" x14ac:dyDescent="0.35"/>
    <row r="950" ht="14.25" customHeight="1" x14ac:dyDescent="0.35"/>
    <row r="951" ht="14.25" customHeight="1" x14ac:dyDescent="0.35"/>
    <row r="952" ht="14.25" customHeight="1" x14ac:dyDescent="0.35"/>
    <row r="953" ht="14.25" customHeight="1" x14ac:dyDescent="0.35"/>
    <row r="954" ht="14.25" customHeight="1" x14ac:dyDescent="0.35"/>
    <row r="955" ht="14.25" customHeight="1" x14ac:dyDescent="0.35"/>
    <row r="956" ht="14.25" customHeight="1" x14ac:dyDescent="0.35"/>
    <row r="957" ht="14.25" customHeight="1" x14ac:dyDescent="0.35"/>
    <row r="958" ht="14.25" customHeight="1" x14ac:dyDescent="0.35"/>
    <row r="959" ht="14.25" customHeight="1" x14ac:dyDescent="0.35"/>
    <row r="960" ht="14.25" customHeight="1" x14ac:dyDescent="0.35"/>
    <row r="961" ht="14.25" customHeight="1" x14ac:dyDescent="0.35"/>
    <row r="962" ht="14.25" customHeight="1" x14ac:dyDescent="0.35"/>
    <row r="963" ht="14.25" customHeight="1" x14ac:dyDescent="0.35"/>
    <row r="964" ht="14.25" customHeight="1" x14ac:dyDescent="0.35"/>
    <row r="965" ht="14.25" customHeight="1" x14ac:dyDescent="0.35"/>
    <row r="966" ht="14.25" customHeight="1" x14ac:dyDescent="0.35"/>
    <row r="967" ht="14.25" customHeight="1" x14ac:dyDescent="0.35"/>
    <row r="968" ht="14.25" customHeight="1" x14ac:dyDescent="0.35"/>
    <row r="969" ht="14.25" customHeight="1" x14ac:dyDescent="0.35"/>
    <row r="970" ht="14.25" customHeight="1" x14ac:dyDescent="0.35"/>
    <row r="971" ht="14.25" customHeight="1" x14ac:dyDescent="0.35"/>
    <row r="972" ht="14.25" customHeight="1" x14ac:dyDescent="0.35"/>
    <row r="973" ht="14.25" customHeight="1" x14ac:dyDescent="0.35"/>
    <row r="974" ht="14.25" customHeight="1" x14ac:dyDescent="0.35"/>
    <row r="975" ht="14.25" customHeight="1" x14ac:dyDescent="0.35"/>
    <row r="976" ht="14.25" customHeight="1" x14ac:dyDescent="0.35"/>
    <row r="977" ht="14.25" customHeight="1" x14ac:dyDescent="0.35"/>
    <row r="978" ht="14.25" customHeight="1" x14ac:dyDescent="0.35"/>
    <row r="979" ht="14.25" customHeight="1" x14ac:dyDescent="0.35"/>
    <row r="980" ht="14.25" customHeight="1" x14ac:dyDescent="0.35"/>
    <row r="981" ht="14.25" customHeight="1" x14ac:dyDescent="0.35"/>
    <row r="982" ht="14.25" customHeight="1" x14ac:dyDescent="0.35"/>
    <row r="983" ht="14.25" customHeight="1" x14ac:dyDescent="0.35"/>
    <row r="984" ht="14.25" customHeight="1" x14ac:dyDescent="0.35"/>
    <row r="985" ht="14.25" customHeight="1" x14ac:dyDescent="0.35"/>
    <row r="986" ht="14.25" customHeight="1" x14ac:dyDescent="0.35"/>
    <row r="987" ht="14.25" customHeight="1" x14ac:dyDescent="0.35"/>
    <row r="988" ht="14.25" customHeight="1" x14ac:dyDescent="0.35"/>
    <row r="989" ht="14.25" customHeight="1" x14ac:dyDescent="0.35"/>
    <row r="990" ht="14.25" customHeight="1" x14ac:dyDescent="0.35"/>
    <row r="991" ht="14.25" customHeight="1" x14ac:dyDescent="0.35"/>
    <row r="992" ht="14.25" customHeight="1" x14ac:dyDescent="0.35"/>
    <row r="993" ht="14.25" customHeight="1" x14ac:dyDescent="0.35"/>
    <row r="994" ht="14.25" customHeight="1" x14ac:dyDescent="0.35"/>
    <row r="995" ht="14.25" customHeight="1" x14ac:dyDescent="0.35"/>
    <row r="996" ht="14.25" customHeight="1" x14ac:dyDescent="0.35"/>
    <row r="997" ht="14.25" customHeight="1" x14ac:dyDescent="0.35"/>
    <row r="998" ht="14.25" customHeight="1" x14ac:dyDescent="0.35"/>
    <row r="999" ht="14.25" customHeight="1" x14ac:dyDescent="0.35"/>
    <row r="1000" ht="14.25" customHeight="1" x14ac:dyDescent="0.35"/>
  </sheetData>
  <pageMargins left="0.7" right="0.7" top="0.75" bottom="0.75" header="0.511811023622047" footer="0.511811023622047"/>
  <pageSetup orientation="landscape" horizontalDpi="300" verticalDpi="300"/>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1000"/>
  <sheetViews>
    <sheetView showGridLines="0" zoomScaleNormal="100" workbookViewId="0"/>
  </sheetViews>
  <sheetFormatPr defaultColWidth="14.453125" defaultRowHeight="14.5" x14ac:dyDescent="0.35"/>
  <cols>
    <col min="1" max="1" width="10" customWidth="1"/>
    <col min="2" max="2" width="18" customWidth="1"/>
    <col min="3" max="3" width="12" customWidth="1"/>
    <col min="4" max="26" width="10" customWidth="1"/>
  </cols>
  <sheetData>
    <row r="1" spans="1:4" ht="14.25" customHeight="1" x14ac:dyDescent="0.35">
      <c r="A1" s="13" t="s">
        <v>2</v>
      </c>
      <c r="B1" s="13" t="s">
        <v>7</v>
      </c>
      <c r="C1" s="13" t="s">
        <v>8</v>
      </c>
      <c r="D1" s="13" t="s">
        <v>9</v>
      </c>
    </row>
    <row r="2" spans="1:4" ht="14.25" customHeight="1" x14ac:dyDescent="0.35">
      <c r="A2" s="15" t="s">
        <v>11</v>
      </c>
      <c r="B2" s="15" t="s">
        <v>54</v>
      </c>
      <c r="C2" s="15" t="s">
        <v>55</v>
      </c>
      <c r="D2" s="15" t="s">
        <v>56</v>
      </c>
    </row>
    <row r="3" spans="1:4" ht="14.25" customHeight="1" x14ac:dyDescent="0.35">
      <c r="A3" s="18" t="s">
        <v>13</v>
      </c>
      <c r="B3" s="18" t="s">
        <v>47</v>
      </c>
      <c r="C3" s="18" t="s">
        <v>48</v>
      </c>
      <c r="D3" s="18" t="s">
        <v>49</v>
      </c>
    </row>
    <row r="4" spans="1:4" ht="14.25" customHeight="1" x14ac:dyDescent="0.35">
      <c r="A4" s="15" t="s">
        <v>15</v>
      </c>
      <c r="B4" s="15" t="s">
        <v>60</v>
      </c>
      <c r="C4" s="15" t="s">
        <v>61</v>
      </c>
      <c r="D4" s="15" t="s">
        <v>62</v>
      </c>
    </row>
    <row r="5" spans="1:4" ht="14.25" customHeight="1" x14ac:dyDescent="0.35"/>
    <row r="6" spans="1:4" ht="14.25" customHeight="1" x14ac:dyDescent="0.35"/>
    <row r="7" spans="1:4" ht="14.25" customHeight="1" x14ac:dyDescent="0.35"/>
    <row r="8" spans="1:4" ht="14.25" customHeight="1" x14ac:dyDescent="0.35"/>
    <row r="9" spans="1:4" ht="14.25" customHeight="1" x14ac:dyDescent="0.35"/>
    <row r="10" spans="1:4" ht="14.25" customHeight="1" x14ac:dyDescent="0.35"/>
    <row r="11" spans="1:4" ht="14.25" customHeight="1" x14ac:dyDescent="0.35"/>
    <row r="12" spans="1:4" ht="14.25" customHeight="1" x14ac:dyDescent="0.35"/>
    <row r="13" spans="1:4" ht="14.25" customHeight="1" x14ac:dyDescent="0.35"/>
    <row r="14" spans="1:4" ht="14.25" customHeight="1" x14ac:dyDescent="0.35"/>
    <row r="15" spans="1:4" ht="14.25" customHeight="1" x14ac:dyDescent="0.35"/>
    <row r="16" spans="1:4" ht="14.25" customHeight="1" x14ac:dyDescent="0.35"/>
    <row r="17" ht="14.25" customHeight="1" x14ac:dyDescent="0.35"/>
    <row r="18" ht="14.25" customHeight="1" x14ac:dyDescent="0.35"/>
    <row r="19" ht="14.25" customHeight="1" x14ac:dyDescent="0.35"/>
    <row r="20" ht="14.25" customHeight="1" x14ac:dyDescent="0.35"/>
    <row r="21" ht="14.25" customHeight="1" x14ac:dyDescent="0.35"/>
    <row r="22" ht="14.25" customHeight="1" x14ac:dyDescent="0.35"/>
    <row r="23" ht="14.25" customHeight="1" x14ac:dyDescent="0.35"/>
    <row r="24" ht="14.25" customHeight="1" x14ac:dyDescent="0.35"/>
    <row r="25" ht="14.25" customHeight="1" x14ac:dyDescent="0.35"/>
    <row r="26" ht="14.25" customHeight="1" x14ac:dyDescent="0.35"/>
    <row r="27" ht="14.25" customHeight="1" x14ac:dyDescent="0.35"/>
    <row r="28" ht="14.25" customHeight="1" x14ac:dyDescent="0.35"/>
    <row r="29" ht="14.25" customHeight="1" x14ac:dyDescent="0.35"/>
    <row r="30" ht="14.25" customHeight="1" x14ac:dyDescent="0.35"/>
    <row r="31" ht="14.25" customHeight="1" x14ac:dyDescent="0.35"/>
    <row r="32" ht="14.25" customHeight="1" x14ac:dyDescent="0.35"/>
    <row r="33" ht="14.25" customHeight="1" x14ac:dyDescent="0.35"/>
    <row r="34" ht="14.25" customHeight="1" x14ac:dyDescent="0.35"/>
    <row r="35" ht="14.25" customHeight="1" x14ac:dyDescent="0.35"/>
    <row r="36" ht="14.25" customHeight="1" x14ac:dyDescent="0.35"/>
    <row r="37" ht="14.25" customHeight="1" x14ac:dyDescent="0.35"/>
    <row r="38" ht="14.25" customHeight="1" x14ac:dyDescent="0.35"/>
    <row r="39" ht="14.25" customHeight="1" x14ac:dyDescent="0.35"/>
    <row r="40" ht="14.25" customHeight="1" x14ac:dyDescent="0.35"/>
    <row r="41" ht="14.25" customHeight="1" x14ac:dyDescent="0.35"/>
    <row r="42" ht="14.25" customHeight="1" x14ac:dyDescent="0.35"/>
    <row r="43" ht="14.25" customHeight="1" x14ac:dyDescent="0.35"/>
    <row r="44" ht="14.25" customHeight="1" x14ac:dyDescent="0.35"/>
    <row r="45" ht="14.25" customHeight="1" x14ac:dyDescent="0.35"/>
    <row r="46" ht="14.25" customHeight="1" x14ac:dyDescent="0.35"/>
    <row r="47" ht="14.25" customHeight="1" x14ac:dyDescent="0.35"/>
    <row r="48" ht="14.25" customHeight="1" x14ac:dyDescent="0.35"/>
    <row r="49" ht="14.25" customHeight="1" x14ac:dyDescent="0.35"/>
    <row r="50" ht="14.25" customHeight="1" x14ac:dyDescent="0.35"/>
    <row r="51" ht="14.25" customHeight="1" x14ac:dyDescent="0.35"/>
    <row r="52" ht="14.25" customHeight="1" x14ac:dyDescent="0.35"/>
    <row r="53" ht="14.25" customHeight="1" x14ac:dyDescent="0.35"/>
    <row r="54" ht="14.25" customHeight="1" x14ac:dyDescent="0.35"/>
    <row r="55" ht="14.25" customHeight="1" x14ac:dyDescent="0.35"/>
    <row r="56" ht="14.25" customHeight="1" x14ac:dyDescent="0.35"/>
    <row r="57" ht="14.25" customHeight="1" x14ac:dyDescent="0.35"/>
    <row r="58" ht="14.25" customHeight="1" x14ac:dyDescent="0.35"/>
    <row r="59" ht="14.25" customHeight="1" x14ac:dyDescent="0.35"/>
    <row r="60" ht="14.25" customHeight="1" x14ac:dyDescent="0.35"/>
    <row r="61" ht="14.25" customHeight="1" x14ac:dyDescent="0.35"/>
    <row r="62" ht="14.25" customHeight="1" x14ac:dyDescent="0.35"/>
    <row r="63" ht="14.25" customHeight="1" x14ac:dyDescent="0.35"/>
    <row r="64" ht="14.25" customHeight="1" x14ac:dyDescent="0.35"/>
    <row r="65" ht="14.25" customHeight="1" x14ac:dyDescent="0.35"/>
    <row r="66" ht="14.25" customHeight="1" x14ac:dyDescent="0.35"/>
    <row r="67" ht="14.25" customHeight="1" x14ac:dyDescent="0.35"/>
    <row r="68" ht="14.25" customHeight="1" x14ac:dyDescent="0.35"/>
    <row r="69" ht="14.25" customHeight="1" x14ac:dyDescent="0.35"/>
    <row r="70" ht="14.25" customHeight="1" x14ac:dyDescent="0.35"/>
    <row r="71" ht="14.25" customHeight="1" x14ac:dyDescent="0.35"/>
    <row r="72" ht="14.25" customHeight="1" x14ac:dyDescent="0.35"/>
    <row r="73" ht="14.25" customHeight="1" x14ac:dyDescent="0.35"/>
    <row r="74" ht="14.25" customHeight="1" x14ac:dyDescent="0.35"/>
    <row r="75" ht="14.25" customHeight="1" x14ac:dyDescent="0.35"/>
    <row r="76" ht="14.25" customHeight="1" x14ac:dyDescent="0.35"/>
    <row r="77" ht="14.25" customHeight="1" x14ac:dyDescent="0.35"/>
    <row r="78" ht="14.25" customHeight="1" x14ac:dyDescent="0.35"/>
    <row r="79" ht="14.25" customHeight="1" x14ac:dyDescent="0.35"/>
    <row r="80" ht="14.25" customHeight="1" x14ac:dyDescent="0.35"/>
    <row r="81" ht="14.25" customHeight="1" x14ac:dyDescent="0.35"/>
    <row r="82" ht="14.25" customHeight="1" x14ac:dyDescent="0.35"/>
    <row r="83" ht="14.25" customHeight="1" x14ac:dyDescent="0.35"/>
    <row r="84" ht="14.25" customHeight="1" x14ac:dyDescent="0.35"/>
    <row r="85" ht="14.25" customHeight="1" x14ac:dyDescent="0.35"/>
    <row r="86" ht="14.25" customHeight="1" x14ac:dyDescent="0.35"/>
    <row r="87" ht="14.25" customHeight="1" x14ac:dyDescent="0.35"/>
    <row r="88" ht="14.25" customHeight="1" x14ac:dyDescent="0.35"/>
    <row r="89" ht="14.25" customHeight="1" x14ac:dyDescent="0.35"/>
    <row r="90" ht="14.25" customHeight="1" x14ac:dyDescent="0.35"/>
    <row r="91" ht="14.25" customHeight="1" x14ac:dyDescent="0.35"/>
    <row r="92" ht="14.25" customHeight="1" x14ac:dyDescent="0.35"/>
    <row r="93" ht="14.25" customHeight="1" x14ac:dyDescent="0.35"/>
    <row r="94" ht="14.25" customHeight="1" x14ac:dyDescent="0.35"/>
    <row r="95" ht="14.25" customHeight="1" x14ac:dyDescent="0.35"/>
    <row r="96" ht="14.25" customHeight="1" x14ac:dyDescent="0.35"/>
    <row r="97" ht="14.25" customHeight="1" x14ac:dyDescent="0.35"/>
    <row r="98" ht="14.25" customHeight="1" x14ac:dyDescent="0.35"/>
    <row r="99" ht="14.25" customHeight="1" x14ac:dyDescent="0.35"/>
    <row r="100" ht="14.25" customHeight="1" x14ac:dyDescent="0.35"/>
    <row r="101" ht="14.25" customHeight="1" x14ac:dyDescent="0.35"/>
    <row r="102" ht="14.25" customHeight="1" x14ac:dyDescent="0.35"/>
    <row r="103" ht="14.25" customHeight="1" x14ac:dyDescent="0.35"/>
    <row r="104" ht="14.25" customHeight="1" x14ac:dyDescent="0.35"/>
    <row r="105" ht="14.25" customHeight="1" x14ac:dyDescent="0.35"/>
    <row r="106" ht="14.25" customHeight="1" x14ac:dyDescent="0.35"/>
    <row r="107" ht="14.25" customHeight="1" x14ac:dyDescent="0.35"/>
    <row r="108" ht="14.25" customHeight="1" x14ac:dyDescent="0.35"/>
    <row r="109" ht="14.25" customHeight="1" x14ac:dyDescent="0.35"/>
    <row r="110" ht="14.25" customHeight="1" x14ac:dyDescent="0.35"/>
    <row r="111" ht="14.25" customHeight="1" x14ac:dyDescent="0.35"/>
    <row r="112" ht="14.25" customHeight="1" x14ac:dyDescent="0.35"/>
    <row r="113" ht="14.25" customHeight="1" x14ac:dyDescent="0.35"/>
    <row r="114" ht="14.25" customHeight="1" x14ac:dyDescent="0.35"/>
    <row r="115" ht="14.25" customHeight="1" x14ac:dyDescent="0.35"/>
    <row r="116" ht="14.25" customHeight="1" x14ac:dyDescent="0.35"/>
    <row r="117" ht="14.25" customHeight="1" x14ac:dyDescent="0.35"/>
    <row r="118" ht="14.25" customHeight="1" x14ac:dyDescent="0.35"/>
    <row r="119" ht="14.25" customHeight="1" x14ac:dyDescent="0.35"/>
    <row r="120" ht="14.25" customHeight="1" x14ac:dyDescent="0.35"/>
    <row r="121" ht="14.25" customHeight="1" x14ac:dyDescent="0.35"/>
    <row r="122" ht="14.25" customHeight="1" x14ac:dyDescent="0.35"/>
    <row r="123" ht="14.25" customHeight="1" x14ac:dyDescent="0.35"/>
    <row r="124" ht="14.25" customHeight="1" x14ac:dyDescent="0.35"/>
    <row r="125" ht="14.25" customHeight="1" x14ac:dyDescent="0.35"/>
    <row r="126" ht="14.25" customHeight="1" x14ac:dyDescent="0.35"/>
    <row r="127" ht="14.25" customHeight="1" x14ac:dyDescent="0.35"/>
    <row r="128" ht="14.25" customHeight="1" x14ac:dyDescent="0.35"/>
    <row r="129" ht="14.25" customHeight="1" x14ac:dyDescent="0.35"/>
    <row r="130" ht="14.25" customHeight="1" x14ac:dyDescent="0.35"/>
    <row r="131" ht="14.25" customHeight="1" x14ac:dyDescent="0.35"/>
    <row r="132" ht="14.25" customHeight="1" x14ac:dyDescent="0.35"/>
    <row r="133" ht="14.25" customHeight="1" x14ac:dyDescent="0.35"/>
    <row r="134" ht="14.25" customHeight="1" x14ac:dyDescent="0.35"/>
    <row r="135" ht="14.25" customHeight="1" x14ac:dyDescent="0.35"/>
    <row r="136" ht="14.25" customHeight="1" x14ac:dyDescent="0.35"/>
    <row r="137" ht="14.25" customHeight="1" x14ac:dyDescent="0.35"/>
    <row r="138" ht="14.25" customHeight="1" x14ac:dyDescent="0.35"/>
    <row r="139" ht="14.25" customHeight="1" x14ac:dyDescent="0.35"/>
    <row r="140" ht="14.25" customHeight="1" x14ac:dyDescent="0.35"/>
    <row r="141" ht="14.25" customHeight="1" x14ac:dyDescent="0.35"/>
    <row r="142" ht="14.25" customHeight="1" x14ac:dyDescent="0.35"/>
    <row r="143" ht="14.25" customHeight="1" x14ac:dyDescent="0.35"/>
    <row r="144" ht="14.25" customHeight="1" x14ac:dyDescent="0.35"/>
    <row r="145" ht="14.25" customHeight="1" x14ac:dyDescent="0.35"/>
    <row r="146" ht="14.25" customHeight="1" x14ac:dyDescent="0.35"/>
    <row r="147" ht="14.25" customHeight="1" x14ac:dyDescent="0.35"/>
    <row r="148" ht="14.25" customHeight="1" x14ac:dyDescent="0.35"/>
    <row r="149" ht="14.25" customHeight="1" x14ac:dyDescent="0.35"/>
    <row r="150" ht="14.25" customHeight="1" x14ac:dyDescent="0.35"/>
    <row r="151" ht="14.25" customHeight="1" x14ac:dyDescent="0.35"/>
    <row r="152" ht="14.25" customHeight="1" x14ac:dyDescent="0.35"/>
    <row r="153" ht="14.25" customHeight="1" x14ac:dyDescent="0.35"/>
    <row r="154" ht="14.25" customHeight="1" x14ac:dyDescent="0.35"/>
    <row r="155" ht="14.25" customHeight="1" x14ac:dyDescent="0.35"/>
    <row r="156" ht="14.25" customHeight="1" x14ac:dyDescent="0.35"/>
    <row r="157" ht="14.25" customHeight="1" x14ac:dyDescent="0.35"/>
    <row r="158" ht="14.25" customHeight="1" x14ac:dyDescent="0.35"/>
    <row r="159" ht="14.25" customHeight="1" x14ac:dyDescent="0.35"/>
    <row r="160" ht="14.25" customHeight="1" x14ac:dyDescent="0.35"/>
    <row r="161" ht="14.25" customHeight="1" x14ac:dyDescent="0.35"/>
    <row r="162" ht="14.25" customHeight="1" x14ac:dyDescent="0.35"/>
    <row r="163" ht="14.25" customHeight="1" x14ac:dyDescent="0.35"/>
    <row r="164" ht="14.25" customHeight="1" x14ac:dyDescent="0.35"/>
    <row r="165" ht="14.25" customHeight="1" x14ac:dyDescent="0.35"/>
    <row r="166" ht="14.25" customHeight="1" x14ac:dyDescent="0.35"/>
    <row r="167" ht="14.25" customHeight="1" x14ac:dyDescent="0.35"/>
    <row r="168" ht="14.25" customHeight="1" x14ac:dyDescent="0.35"/>
    <row r="169" ht="14.25" customHeight="1" x14ac:dyDescent="0.35"/>
    <row r="170" ht="14.25" customHeight="1" x14ac:dyDescent="0.35"/>
    <row r="171" ht="14.25" customHeight="1" x14ac:dyDescent="0.35"/>
    <row r="172" ht="14.25" customHeight="1" x14ac:dyDescent="0.35"/>
    <row r="173" ht="14.25" customHeight="1" x14ac:dyDescent="0.35"/>
    <row r="174" ht="14.25" customHeight="1" x14ac:dyDescent="0.35"/>
    <row r="175" ht="14.25" customHeight="1" x14ac:dyDescent="0.35"/>
    <row r="176" ht="14.25" customHeight="1" x14ac:dyDescent="0.35"/>
    <row r="177" ht="14.25" customHeight="1" x14ac:dyDescent="0.35"/>
    <row r="178" ht="14.25" customHeight="1" x14ac:dyDescent="0.35"/>
    <row r="179" ht="14.25" customHeight="1" x14ac:dyDescent="0.35"/>
    <row r="180" ht="14.25" customHeight="1" x14ac:dyDescent="0.35"/>
    <row r="181" ht="14.25" customHeight="1" x14ac:dyDescent="0.35"/>
    <row r="182" ht="14.25" customHeight="1" x14ac:dyDescent="0.35"/>
    <row r="183" ht="14.25" customHeight="1" x14ac:dyDescent="0.35"/>
    <row r="184" ht="14.25" customHeight="1" x14ac:dyDescent="0.35"/>
    <row r="185" ht="14.25" customHeight="1" x14ac:dyDescent="0.35"/>
    <row r="186" ht="14.25" customHeight="1" x14ac:dyDescent="0.35"/>
    <row r="187" ht="14.25" customHeight="1" x14ac:dyDescent="0.35"/>
    <row r="188" ht="14.25" customHeight="1" x14ac:dyDescent="0.35"/>
    <row r="189" ht="14.25" customHeight="1" x14ac:dyDescent="0.35"/>
    <row r="190" ht="14.25" customHeight="1" x14ac:dyDescent="0.35"/>
    <row r="191" ht="14.25" customHeight="1" x14ac:dyDescent="0.35"/>
    <row r="192" ht="14.25" customHeight="1" x14ac:dyDescent="0.35"/>
    <row r="193" ht="14.25" customHeight="1" x14ac:dyDescent="0.35"/>
    <row r="194" ht="14.25" customHeight="1" x14ac:dyDescent="0.35"/>
    <row r="195" ht="14.25" customHeight="1" x14ac:dyDescent="0.35"/>
    <row r="196" ht="14.25" customHeight="1" x14ac:dyDescent="0.35"/>
    <row r="197" ht="14.25" customHeight="1" x14ac:dyDescent="0.35"/>
    <row r="198" ht="14.25" customHeight="1" x14ac:dyDescent="0.35"/>
    <row r="199" ht="14.25" customHeight="1" x14ac:dyDescent="0.35"/>
    <row r="200" ht="14.25" customHeight="1" x14ac:dyDescent="0.35"/>
    <row r="201" ht="14.25" customHeight="1" x14ac:dyDescent="0.35"/>
    <row r="202" ht="14.25" customHeight="1" x14ac:dyDescent="0.35"/>
    <row r="203" ht="14.25" customHeight="1" x14ac:dyDescent="0.35"/>
    <row r="204" ht="14.25" customHeight="1" x14ac:dyDescent="0.35"/>
    <row r="205" ht="14.25" customHeight="1" x14ac:dyDescent="0.35"/>
    <row r="206" ht="14.25" customHeight="1" x14ac:dyDescent="0.35"/>
    <row r="207" ht="14.25" customHeight="1" x14ac:dyDescent="0.35"/>
    <row r="208" ht="14.25" customHeight="1" x14ac:dyDescent="0.35"/>
    <row r="209" ht="14.25" customHeight="1" x14ac:dyDescent="0.35"/>
    <row r="210" ht="14.25" customHeight="1" x14ac:dyDescent="0.35"/>
    <row r="211" ht="14.25" customHeight="1" x14ac:dyDescent="0.35"/>
    <row r="212" ht="14.25" customHeight="1" x14ac:dyDescent="0.35"/>
    <row r="213" ht="14.25" customHeight="1" x14ac:dyDescent="0.35"/>
    <row r="214" ht="14.25" customHeight="1" x14ac:dyDescent="0.35"/>
    <row r="215" ht="14.25" customHeight="1" x14ac:dyDescent="0.35"/>
    <row r="216" ht="14.25" customHeight="1" x14ac:dyDescent="0.35"/>
    <row r="217" ht="14.25" customHeight="1" x14ac:dyDescent="0.35"/>
    <row r="218" ht="14.25" customHeight="1" x14ac:dyDescent="0.35"/>
    <row r="219" ht="14.25" customHeight="1" x14ac:dyDescent="0.35"/>
    <row r="220" ht="14.25" customHeight="1" x14ac:dyDescent="0.35"/>
    <row r="221" ht="14.25" customHeight="1" x14ac:dyDescent="0.35"/>
    <row r="222" ht="14.25" customHeight="1" x14ac:dyDescent="0.35"/>
    <row r="223" ht="14.25" customHeight="1" x14ac:dyDescent="0.35"/>
    <row r="224" ht="14.25" customHeight="1" x14ac:dyDescent="0.35"/>
    <row r="225" ht="14.25" customHeight="1" x14ac:dyDescent="0.35"/>
    <row r="226" ht="14.25" customHeight="1" x14ac:dyDescent="0.35"/>
    <row r="227" ht="14.25" customHeight="1" x14ac:dyDescent="0.35"/>
    <row r="228" ht="14.25" customHeight="1" x14ac:dyDescent="0.35"/>
    <row r="229" ht="14.25" customHeight="1" x14ac:dyDescent="0.35"/>
    <row r="230" ht="14.25" customHeight="1" x14ac:dyDescent="0.35"/>
    <row r="231" ht="14.25" customHeight="1" x14ac:dyDescent="0.35"/>
    <row r="232" ht="14.25" customHeight="1" x14ac:dyDescent="0.35"/>
    <row r="233" ht="14.25" customHeight="1" x14ac:dyDescent="0.35"/>
    <row r="234" ht="14.25" customHeight="1" x14ac:dyDescent="0.35"/>
    <row r="235" ht="14.25" customHeight="1" x14ac:dyDescent="0.35"/>
    <row r="236" ht="14.25" customHeight="1" x14ac:dyDescent="0.35"/>
    <row r="237" ht="14.25" customHeight="1" x14ac:dyDescent="0.35"/>
    <row r="238" ht="14.25" customHeight="1" x14ac:dyDescent="0.35"/>
    <row r="239" ht="14.25" customHeight="1" x14ac:dyDescent="0.35"/>
    <row r="240" ht="14.25" customHeight="1" x14ac:dyDescent="0.35"/>
    <row r="241" ht="14.25" customHeight="1" x14ac:dyDescent="0.35"/>
    <row r="242" ht="14.25" customHeight="1" x14ac:dyDescent="0.35"/>
    <row r="243" ht="14.25" customHeight="1" x14ac:dyDescent="0.35"/>
    <row r="244" ht="14.25" customHeight="1" x14ac:dyDescent="0.35"/>
    <row r="245" ht="14.25" customHeight="1" x14ac:dyDescent="0.35"/>
    <row r="246" ht="14.25" customHeight="1" x14ac:dyDescent="0.35"/>
    <row r="247" ht="14.25" customHeight="1" x14ac:dyDescent="0.35"/>
    <row r="248" ht="14.25" customHeight="1" x14ac:dyDescent="0.35"/>
    <row r="249" ht="14.25" customHeight="1" x14ac:dyDescent="0.35"/>
    <row r="250" ht="14.25" customHeight="1" x14ac:dyDescent="0.35"/>
    <row r="251" ht="14.25" customHeight="1" x14ac:dyDescent="0.35"/>
    <row r="252" ht="14.25" customHeight="1" x14ac:dyDescent="0.35"/>
    <row r="253" ht="14.25" customHeight="1" x14ac:dyDescent="0.35"/>
    <row r="254" ht="14.25" customHeight="1" x14ac:dyDescent="0.35"/>
    <row r="255" ht="14.25" customHeight="1" x14ac:dyDescent="0.35"/>
    <row r="256" ht="14.25" customHeight="1" x14ac:dyDescent="0.35"/>
    <row r="257" ht="14.25" customHeight="1" x14ac:dyDescent="0.35"/>
    <row r="258" ht="14.25" customHeight="1" x14ac:dyDescent="0.35"/>
    <row r="259" ht="14.25" customHeight="1" x14ac:dyDescent="0.35"/>
    <row r="260" ht="14.25" customHeight="1" x14ac:dyDescent="0.35"/>
    <row r="261" ht="14.25" customHeight="1" x14ac:dyDescent="0.35"/>
    <row r="262" ht="14.25" customHeight="1" x14ac:dyDescent="0.35"/>
    <row r="263" ht="14.25" customHeight="1" x14ac:dyDescent="0.35"/>
    <row r="264" ht="14.25" customHeight="1" x14ac:dyDescent="0.35"/>
    <row r="265" ht="14.25" customHeight="1" x14ac:dyDescent="0.35"/>
    <row r="266" ht="14.25" customHeight="1" x14ac:dyDescent="0.35"/>
    <row r="267" ht="14.25" customHeight="1" x14ac:dyDescent="0.35"/>
    <row r="268" ht="14.25" customHeight="1" x14ac:dyDescent="0.35"/>
    <row r="269" ht="14.25" customHeight="1" x14ac:dyDescent="0.35"/>
    <row r="270" ht="14.25" customHeight="1" x14ac:dyDescent="0.35"/>
    <row r="271" ht="14.25" customHeight="1" x14ac:dyDescent="0.35"/>
    <row r="272" ht="14.25" customHeight="1" x14ac:dyDescent="0.35"/>
    <row r="273" ht="14.25" customHeight="1" x14ac:dyDescent="0.35"/>
    <row r="274" ht="14.25" customHeight="1" x14ac:dyDescent="0.35"/>
    <row r="275" ht="14.25" customHeight="1" x14ac:dyDescent="0.35"/>
    <row r="276" ht="14.25" customHeight="1" x14ac:dyDescent="0.35"/>
    <row r="277" ht="14.25" customHeight="1" x14ac:dyDescent="0.35"/>
    <row r="278" ht="14.25" customHeight="1" x14ac:dyDescent="0.35"/>
    <row r="279" ht="14.25" customHeight="1" x14ac:dyDescent="0.35"/>
    <row r="280" ht="14.25" customHeight="1" x14ac:dyDescent="0.35"/>
    <row r="281" ht="14.25" customHeight="1" x14ac:dyDescent="0.35"/>
    <row r="282" ht="14.25" customHeight="1" x14ac:dyDescent="0.35"/>
    <row r="283" ht="14.25" customHeight="1" x14ac:dyDescent="0.35"/>
    <row r="284" ht="14.25" customHeight="1" x14ac:dyDescent="0.35"/>
    <row r="285" ht="14.25" customHeight="1" x14ac:dyDescent="0.35"/>
    <row r="286" ht="14.25" customHeight="1" x14ac:dyDescent="0.35"/>
    <row r="287" ht="14.25" customHeight="1" x14ac:dyDescent="0.35"/>
    <row r="288" ht="14.25" customHeight="1" x14ac:dyDescent="0.35"/>
    <row r="289" ht="14.25" customHeight="1" x14ac:dyDescent="0.35"/>
    <row r="290" ht="14.25" customHeight="1" x14ac:dyDescent="0.35"/>
    <row r="291" ht="14.25" customHeight="1" x14ac:dyDescent="0.35"/>
    <row r="292" ht="14.25" customHeight="1" x14ac:dyDescent="0.35"/>
    <row r="293" ht="14.25" customHeight="1" x14ac:dyDescent="0.35"/>
    <row r="294" ht="14.25" customHeight="1" x14ac:dyDescent="0.35"/>
    <row r="295" ht="14.25" customHeight="1" x14ac:dyDescent="0.35"/>
    <row r="296" ht="14.25" customHeight="1" x14ac:dyDescent="0.35"/>
    <row r="297" ht="14.25" customHeight="1" x14ac:dyDescent="0.35"/>
    <row r="298" ht="14.25" customHeight="1" x14ac:dyDescent="0.35"/>
    <row r="299" ht="14.25" customHeight="1" x14ac:dyDescent="0.35"/>
    <row r="300" ht="14.25" customHeight="1" x14ac:dyDescent="0.35"/>
    <row r="301" ht="14.25" customHeight="1" x14ac:dyDescent="0.35"/>
    <row r="302" ht="14.25" customHeight="1" x14ac:dyDescent="0.35"/>
    <row r="303" ht="14.25" customHeight="1" x14ac:dyDescent="0.35"/>
    <row r="304" ht="14.25" customHeight="1" x14ac:dyDescent="0.35"/>
    <row r="305" ht="14.25" customHeight="1" x14ac:dyDescent="0.35"/>
    <row r="306" ht="14.25" customHeight="1" x14ac:dyDescent="0.35"/>
    <row r="307" ht="14.25" customHeight="1" x14ac:dyDescent="0.35"/>
    <row r="308" ht="14.25" customHeight="1" x14ac:dyDescent="0.35"/>
    <row r="309" ht="14.25" customHeight="1" x14ac:dyDescent="0.35"/>
    <row r="310" ht="14.25" customHeight="1" x14ac:dyDescent="0.35"/>
    <row r="311" ht="14.25" customHeight="1" x14ac:dyDescent="0.35"/>
    <row r="312" ht="14.25" customHeight="1" x14ac:dyDescent="0.35"/>
    <row r="313" ht="14.25" customHeight="1" x14ac:dyDescent="0.35"/>
    <row r="314" ht="14.25" customHeight="1" x14ac:dyDescent="0.35"/>
    <row r="315" ht="14.25" customHeight="1" x14ac:dyDescent="0.35"/>
    <row r="316" ht="14.25" customHeight="1" x14ac:dyDescent="0.35"/>
    <row r="317" ht="14.25" customHeight="1" x14ac:dyDescent="0.35"/>
    <row r="318" ht="14.25" customHeight="1" x14ac:dyDescent="0.35"/>
    <row r="319" ht="14.25" customHeight="1" x14ac:dyDescent="0.35"/>
    <row r="320" ht="14.25" customHeight="1" x14ac:dyDescent="0.35"/>
    <row r="321" ht="14.25" customHeight="1" x14ac:dyDescent="0.35"/>
    <row r="322" ht="14.25" customHeight="1" x14ac:dyDescent="0.35"/>
    <row r="323" ht="14.25" customHeight="1" x14ac:dyDescent="0.35"/>
    <row r="324" ht="14.25" customHeight="1" x14ac:dyDescent="0.35"/>
    <row r="325" ht="14.25" customHeight="1" x14ac:dyDescent="0.35"/>
    <row r="326" ht="14.25" customHeight="1" x14ac:dyDescent="0.35"/>
    <row r="327" ht="14.25" customHeight="1" x14ac:dyDescent="0.35"/>
    <row r="328" ht="14.25" customHeight="1" x14ac:dyDescent="0.35"/>
    <row r="329" ht="14.25" customHeight="1" x14ac:dyDescent="0.35"/>
    <row r="330" ht="14.25" customHeight="1" x14ac:dyDescent="0.35"/>
    <row r="331" ht="14.25" customHeight="1" x14ac:dyDescent="0.35"/>
    <row r="332" ht="14.25" customHeight="1" x14ac:dyDescent="0.35"/>
    <row r="333" ht="14.25" customHeight="1" x14ac:dyDescent="0.35"/>
    <row r="334" ht="14.25" customHeight="1" x14ac:dyDescent="0.35"/>
    <row r="335" ht="14.25" customHeight="1" x14ac:dyDescent="0.35"/>
    <row r="336" ht="14.25" customHeight="1" x14ac:dyDescent="0.35"/>
    <row r="337" ht="14.25" customHeight="1" x14ac:dyDescent="0.35"/>
    <row r="338" ht="14.25" customHeight="1" x14ac:dyDescent="0.35"/>
    <row r="339" ht="14.25" customHeight="1" x14ac:dyDescent="0.35"/>
    <row r="340" ht="14.25" customHeight="1" x14ac:dyDescent="0.35"/>
    <row r="341" ht="14.25" customHeight="1" x14ac:dyDescent="0.35"/>
    <row r="342" ht="14.25" customHeight="1" x14ac:dyDescent="0.35"/>
    <row r="343" ht="14.25" customHeight="1" x14ac:dyDescent="0.35"/>
    <row r="344" ht="14.25" customHeight="1" x14ac:dyDescent="0.35"/>
    <row r="345" ht="14.25" customHeight="1" x14ac:dyDescent="0.35"/>
    <row r="346" ht="14.25" customHeight="1" x14ac:dyDescent="0.35"/>
    <row r="347" ht="14.25" customHeight="1" x14ac:dyDescent="0.35"/>
    <row r="348" ht="14.25" customHeight="1" x14ac:dyDescent="0.35"/>
    <row r="349" ht="14.25" customHeight="1" x14ac:dyDescent="0.35"/>
    <row r="350" ht="14.25" customHeight="1" x14ac:dyDescent="0.35"/>
    <row r="351" ht="14.25" customHeight="1" x14ac:dyDescent="0.35"/>
    <row r="352" ht="14.25" customHeight="1" x14ac:dyDescent="0.35"/>
    <row r="353" ht="14.25" customHeight="1" x14ac:dyDescent="0.35"/>
    <row r="354" ht="14.25" customHeight="1" x14ac:dyDescent="0.35"/>
    <row r="355" ht="14.25" customHeight="1" x14ac:dyDescent="0.35"/>
    <row r="356" ht="14.25" customHeight="1" x14ac:dyDescent="0.35"/>
    <row r="357" ht="14.25" customHeight="1" x14ac:dyDescent="0.35"/>
    <row r="358" ht="14.25" customHeight="1" x14ac:dyDescent="0.35"/>
    <row r="359" ht="14.25" customHeight="1" x14ac:dyDescent="0.35"/>
    <row r="360" ht="14.25" customHeight="1" x14ac:dyDescent="0.35"/>
    <row r="361" ht="14.25" customHeight="1" x14ac:dyDescent="0.35"/>
    <row r="362" ht="14.25" customHeight="1" x14ac:dyDescent="0.35"/>
    <row r="363" ht="14.25" customHeight="1" x14ac:dyDescent="0.35"/>
    <row r="364" ht="14.25" customHeight="1" x14ac:dyDescent="0.35"/>
    <row r="365" ht="14.25" customHeight="1" x14ac:dyDescent="0.35"/>
    <row r="366" ht="14.25" customHeight="1" x14ac:dyDescent="0.35"/>
    <row r="367" ht="14.25" customHeight="1" x14ac:dyDescent="0.35"/>
    <row r="368" ht="14.25" customHeight="1" x14ac:dyDescent="0.35"/>
    <row r="369" ht="14.25" customHeight="1" x14ac:dyDescent="0.35"/>
    <row r="370" ht="14.25" customHeight="1" x14ac:dyDescent="0.35"/>
    <row r="371" ht="14.25" customHeight="1" x14ac:dyDescent="0.35"/>
    <row r="372" ht="14.25" customHeight="1" x14ac:dyDescent="0.35"/>
    <row r="373" ht="14.25" customHeight="1" x14ac:dyDescent="0.35"/>
    <row r="374" ht="14.25" customHeight="1" x14ac:dyDescent="0.35"/>
    <row r="375" ht="14.25" customHeight="1" x14ac:dyDescent="0.35"/>
    <row r="376" ht="14.25" customHeight="1" x14ac:dyDescent="0.35"/>
    <row r="377" ht="14.25" customHeight="1" x14ac:dyDescent="0.35"/>
    <row r="378" ht="14.25" customHeight="1" x14ac:dyDescent="0.35"/>
    <row r="379" ht="14.25" customHeight="1" x14ac:dyDescent="0.35"/>
    <row r="380" ht="14.25" customHeight="1" x14ac:dyDescent="0.35"/>
    <row r="381" ht="14.25" customHeight="1" x14ac:dyDescent="0.35"/>
    <row r="382" ht="14.25" customHeight="1" x14ac:dyDescent="0.35"/>
    <row r="383" ht="14.25" customHeight="1" x14ac:dyDescent="0.35"/>
    <row r="384" ht="14.25" customHeight="1" x14ac:dyDescent="0.35"/>
    <row r="385" ht="14.25" customHeight="1" x14ac:dyDescent="0.35"/>
    <row r="386" ht="14.25" customHeight="1" x14ac:dyDescent="0.35"/>
    <row r="387" ht="14.25" customHeight="1" x14ac:dyDescent="0.35"/>
    <row r="388" ht="14.25" customHeight="1" x14ac:dyDescent="0.35"/>
    <row r="389" ht="14.25" customHeight="1" x14ac:dyDescent="0.35"/>
    <row r="390" ht="14.25" customHeight="1" x14ac:dyDescent="0.35"/>
    <row r="391" ht="14.25" customHeight="1" x14ac:dyDescent="0.35"/>
    <row r="392" ht="14.25" customHeight="1" x14ac:dyDescent="0.35"/>
    <row r="393" ht="14.25" customHeight="1" x14ac:dyDescent="0.35"/>
    <row r="394" ht="14.25" customHeight="1" x14ac:dyDescent="0.35"/>
    <row r="395" ht="14.25" customHeight="1" x14ac:dyDescent="0.35"/>
    <row r="396" ht="14.25" customHeight="1" x14ac:dyDescent="0.35"/>
    <row r="397" ht="14.25" customHeight="1" x14ac:dyDescent="0.35"/>
    <row r="398" ht="14.25" customHeight="1" x14ac:dyDescent="0.35"/>
    <row r="399" ht="14.25" customHeight="1" x14ac:dyDescent="0.35"/>
    <row r="400" ht="14.25" customHeight="1" x14ac:dyDescent="0.35"/>
    <row r="401" ht="14.25" customHeight="1" x14ac:dyDescent="0.35"/>
    <row r="402" ht="14.25" customHeight="1" x14ac:dyDescent="0.35"/>
    <row r="403" ht="14.25" customHeight="1" x14ac:dyDescent="0.35"/>
    <row r="404" ht="14.25" customHeight="1" x14ac:dyDescent="0.35"/>
    <row r="405" ht="14.25" customHeight="1" x14ac:dyDescent="0.35"/>
    <row r="406" ht="14.25" customHeight="1" x14ac:dyDescent="0.35"/>
    <row r="407" ht="14.25" customHeight="1" x14ac:dyDescent="0.35"/>
    <row r="408" ht="14.25" customHeight="1" x14ac:dyDescent="0.35"/>
    <row r="409" ht="14.25" customHeight="1" x14ac:dyDescent="0.35"/>
    <row r="410" ht="14.25" customHeight="1" x14ac:dyDescent="0.35"/>
    <row r="411" ht="14.25" customHeight="1" x14ac:dyDescent="0.35"/>
    <row r="412" ht="14.25" customHeight="1" x14ac:dyDescent="0.35"/>
    <row r="413" ht="14.25" customHeight="1" x14ac:dyDescent="0.35"/>
    <row r="414" ht="14.25" customHeight="1" x14ac:dyDescent="0.35"/>
    <row r="415" ht="14.25" customHeight="1" x14ac:dyDescent="0.35"/>
    <row r="416" ht="14.25" customHeight="1" x14ac:dyDescent="0.35"/>
    <row r="417" ht="14.25" customHeight="1" x14ac:dyDescent="0.35"/>
    <row r="418" ht="14.25" customHeight="1" x14ac:dyDescent="0.35"/>
    <row r="419" ht="14.25" customHeight="1" x14ac:dyDescent="0.35"/>
    <row r="420" ht="14.25" customHeight="1" x14ac:dyDescent="0.35"/>
    <row r="421" ht="14.25" customHeight="1" x14ac:dyDescent="0.35"/>
    <row r="422" ht="14.25" customHeight="1" x14ac:dyDescent="0.35"/>
    <row r="423" ht="14.25" customHeight="1" x14ac:dyDescent="0.35"/>
    <row r="424" ht="14.25" customHeight="1" x14ac:dyDescent="0.35"/>
    <row r="425" ht="14.25" customHeight="1" x14ac:dyDescent="0.35"/>
    <row r="426" ht="14.25" customHeight="1" x14ac:dyDescent="0.35"/>
    <row r="427" ht="14.25" customHeight="1" x14ac:dyDescent="0.35"/>
    <row r="428" ht="14.25" customHeight="1" x14ac:dyDescent="0.35"/>
    <row r="429" ht="14.25" customHeight="1" x14ac:dyDescent="0.35"/>
    <row r="430" ht="14.25" customHeight="1" x14ac:dyDescent="0.35"/>
    <row r="431" ht="14.25" customHeight="1" x14ac:dyDescent="0.35"/>
    <row r="432" ht="14.25" customHeight="1" x14ac:dyDescent="0.35"/>
    <row r="433" ht="14.25" customHeight="1" x14ac:dyDescent="0.35"/>
    <row r="434" ht="14.25" customHeight="1" x14ac:dyDescent="0.35"/>
    <row r="435" ht="14.25" customHeight="1" x14ac:dyDescent="0.35"/>
    <row r="436" ht="14.25" customHeight="1" x14ac:dyDescent="0.35"/>
    <row r="437" ht="14.25" customHeight="1" x14ac:dyDescent="0.35"/>
    <row r="438" ht="14.25" customHeight="1" x14ac:dyDescent="0.35"/>
    <row r="439" ht="14.25" customHeight="1" x14ac:dyDescent="0.35"/>
    <row r="440" ht="14.25" customHeight="1" x14ac:dyDescent="0.35"/>
    <row r="441" ht="14.25" customHeight="1" x14ac:dyDescent="0.35"/>
    <row r="442" ht="14.25" customHeight="1" x14ac:dyDescent="0.35"/>
    <row r="443" ht="14.25" customHeight="1" x14ac:dyDescent="0.35"/>
    <row r="444" ht="14.25" customHeight="1" x14ac:dyDescent="0.35"/>
    <row r="445" ht="14.25" customHeight="1" x14ac:dyDescent="0.35"/>
    <row r="446" ht="14.25" customHeight="1" x14ac:dyDescent="0.35"/>
    <row r="447" ht="14.25" customHeight="1" x14ac:dyDescent="0.35"/>
    <row r="448" ht="14.25" customHeight="1" x14ac:dyDescent="0.35"/>
    <row r="449" ht="14.25" customHeight="1" x14ac:dyDescent="0.35"/>
    <row r="450" ht="14.25" customHeight="1" x14ac:dyDescent="0.35"/>
    <row r="451" ht="14.25" customHeight="1" x14ac:dyDescent="0.35"/>
    <row r="452" ht="14.25" customHeight="1" x14ac:dyDescent="0.35"/>
    <row r="453" ht="14.25" customHeight="1" x14ac:dyDescent="0.35"/>
    <row r="454" ht="14.25" customHeight="1" x14ac:dyDescent="0.35"/>
    <row r="455" ht="14.25" customHeight="1" x14ac:dyDescent="0.35"/>
    <row r="456" ht="14.25" customHeight="1" x14ac:dyDescent="0.35"/>
    <row r="457" ht="14.25" customHeight="1" x14ac:dyDescent="0.35"/>
    <row r="458" ht="14.25" customHeight="1" x14ac:dyDescent="0.35"/>
    <row r="459" ht="14.25" customHeight="1" x14ac:dyDescent="0.35"/>
    <row r="460" ht="14.25" customHeight="1" x14ac:dyDescent="0.35"/>
    <row r="461" ht="14.25" customHeight="1" x14ac:dyDescent="0.35"/>
    <row r="462" ht="14.25" customHeight="1" x14ac:dyDescent="0.35"/>
    <row r="463" ht="14.25" customHeight="1" x14ac:dyDescent="0.35"/>
    <row r="464" ht="14.25" customHeight="1" x14ac:dyDescent="0.35"/>
    <row r="465" ht="14.25" customHeight="1" x14ac:dyDescent="0.35"/>
    <row r="466" ht="14.25" customHeight="1" x14ac:dyDescent="0.35"/>
    <row r="467" ht="14.25" customHeight="1" x14ac:dyDescent="0.35"/>
    <row r="468" ht="14.25" customHeight="1" x14ac:dyDescent="0.35"/>
    <row r="469" ht="14.25" customHeight="1" x14ac:dyDescent="0.35"/>
    <row r="470" ht="14.25" customHeight="1" x14ac:dyDescent="0.35"/>
    <row r="471" ht="14.25" customHeight="1" x14ac:dyDescent="0.35"/>
    <row r="472" ht="14.25" customHeight="1" x14ac:dyDescent="0.35"/>
    <row r="473" ht="14.25" customHeight="1" x14ac:dyDescent="0.35"/>
    <row r="474" ht="14.25" customHeight="1" x14ac:dyDescent="0.35"/>
    <row r="475" ht="14.25" customHeight="1" x14ac:dyDescent="0.35"/>
    <row r="476" ht="14.25" customHeight="1" x14ac:dyDescent="0.35"/>
    <row r="477" ht="14.25" customHeight="1" x14ac:dyDescent="0.35"/>
    <row r="478" ht="14.25" customHeight="1" x14ac:dyDescent="0.35"/>
    <row r="479" ht="14.25" customHeight="1" x14ac:dyDescent="0.35"/>
    <row r="480" ht="14.25" customHeight="1" x14ac:dyDescent="0.35"/>
    <row r="481" ht="14.25" customHeight="1" x14ac:dyDescent="0.35"/>
    <row r="482" ht="14.25" customHeight="1" x14ac:dyDescent="0.35"/>
    <row r="483" ht="14.25" customHeight="1" x14ac:dyDescent="0.35"/>
    <row r="484" ht="14.25" customHeight="1" x14ac:dyDescent="0.35"/>
    <row r="485" ht="14.25" customHeight="1" x14ac:dyDescent="0.35"/>
    <row r="486" ht="14.25" customHeight="1" x14ac:dyDescent="0.35"/>
    <row r="487" ht="14.25" customHeight="1" x14ac:dyDescent="0.35"/>
    <row r="488" ht="14.25" customHeight="1" x14ac:dyDescent="0.35"/>
    <row r="489" ht="14.25" customHeight="1" x14ac:dyDescent="0.35"/>
    <row r="490" ht="14.25" customHeight="1" x14ac:dyDescent="0.35"/>
    <row r="491" ht="14.25" customHeight="1" x14ac:dyDescent="0.35"/>
    <row r="492" ht="14.25" customHeight="1" x14ac:dyDescent="0.35"/>
    <row r="493" ht="14.25" customHeight="1" x14ac:dyDescent="0.35"/>
    <row r="494" ht="14.25" customHeight="1" x14ac:dyDescent="0.35"/>
    <row r="495" ht="14.25" customHeight="1" x14ac:dyDescent="0.35"/>
    <row r="496" ht="14.25" customHeight="1" x14ac:dyDescent="0.35"/>
    <row r="497" ht="14.25" customHeight="1" x14ac:dyDescent="0.35"/>
    <row r="498" ht="14.25" customHeight="1" x14ac:dyDescent="0.35"/>
    <row r="499" ht="14.25" customHeight="1" x14ac:dyDescent="0.35"/>
    <row r="500" ht="14.25" customHeight="1" x14ac:dyDescent="0.35"/>
    <row r="501" ht="14.25" customHeight="1" x14ac:dyDescent="0.35"/>
    <row r="502" ht="14.25" customHeight="1" x14ac:dyDescent="0.35"/>
    <row r="503" ht="14.25" customHeight="1" x14ac:dyDescent="0.35"/>
    <row r="504" ht="14.25" customHeight="1" x14ac:dyDescent="0.35"/>
    <row r="505" ht="14.25" customHeight="1" x14ac:dyDescent="0.35"/>
    <row r="506" ht="14.25" customHeight="1" x14ac:dyDescent="0.35"/>
    <row r="507" ht="14.25" customHeight="1" x14ac:dyDescent="0.35"/>
    <row r="508" ht="14.25" customHeight="1" x14ac:dyDescent="0.35"/>
    <row r="509" ht="14.25" customHeight="1" x14ac:dyDescent="0.35"/>
    <row r="510" ht="14.25" customHeight="1" x14ac:dyDescent="0.35"/>
    <row r="511" ht="14.25" customHeight="1" x14ac:dyDescent="0.35"/>
    <row r="512" ht="14.25" customHeight="1" x14ac:dyDescent="0.35"/>
    <row r="513" ht="14.25" customHeight="1" x14ac:dyDescent="0.35"/>
    <row r="514" ht="14.25" customHeight="1" x14ac:dyDescent="0.35"/>
    <row r="515" ht="14.25" customHeight="1" x14ac:dyDescent="0.35"/>
    <row r="516" ht="14.25" customHeight="1" x14ac:dyDescent="0.35"/>
    <row r="517" ht="14.25" customHeight="1" x14ac:dyDescent="0.35"/>
    <row r="518" ht="14.25" customHeight="1" x14ac:dyDescent="0.35"/>
    <row r="519" ht="14.25" customHeight="1" x14ac:dyDescent="0.35"/>
    <row r="520" ht="14.25" customHeight="1" x14ac:dyDescent="0.35"/>
    <row r="521" ht="14.25" customHeight="1" x14ac:dyDescent="0.35"/>
    <row r="522" ht="14.25" customHeight="1" x14ac:dyDescent="0.35"/>
    <row r="523" ht="14.25" customHeight="1" x14ac:dyDescent="0.35"/>
    <row r="524" ht="14.25" customHeight="1" x14ac:dyDescent="0.35"/>
    <row r="525" ht="14.25" customHeight="1" x14ac:dyDescent="0.35"/>
    <row r="526" ht="14.25" customHeight="1" x14ac:dyDescent="0.35"/>
    <row r="527" ht="14.25" customHeight="1" x14ac:dyDescent="0.35"/>
    <row r="528" ht="14.25" customHeight="1" x14ac:dyDescent="0.35"/>
    <row r="529" ht="14.25" customHeight="1" x14ac:dyDescent="0.35"/>
    <row r="530" ht="14.25" customHeight="1" x14ac:dyDescent="0.35"/>
    <row r="531" ht="14.25" customHeight="1" x14ac:dyDescent="0.35"/>
    <row r="532" ht="14.25" customHeight="1" x14ac:dyDescent="0.35"/>
    <row r="533" ht="14.25" customHeight="1" x14ac:dyDescent="0.35"/>
    <row r="534" ht="14.25" customHeight="1" x14ac:dyDescent="0.35"/>
    <row r="535" ht="14.25" customHeight="1" x14ac:dyDescent="0.35"/>
    <row r="536" ht="14.25" customHeight="1" x14ac:dyDescent="0.35"/>
    <row r="537" ht="14.25" customHeight="1" x14ac:dyDescent="0.35"/>
    <row r="538" ht="14.25" customHeight="1" x14ac:dyDescent="0.35"/>
    <row r="539" ht="14.25" customHeight="1" x14ac:dyDescent="0.35"/>
    <row r="540" ht="14.25" customHeight="1" x14ac:dyDescent="0.35"/>
    <row r="541" ht="14.25" customHeight="1" x14ac:dyDescent="0.35"/>
    <row r="542" ht="14.25" customHeight="1" x14ac:dyDescent="0.35"/>
    <row r="543" ht="14.25" customHeight="1" x14ac:dyDescent="0.35"/>
    <row r="544" ht="14.25" customHeight="1" x14ac:dyDescent="0.35"/>
    <row r="545" ht="14.25" customHeight="1" x14ac:dyDescent="0.35"/>
    <row r="546" ht="14.25" customHeight="1" x14ac:dyDescent="0.35"/>
    <row r="547" ht="14.25" customHeight="1" x14ac:dyDescent="0.35"/>
    <row r="548" ht="14.25" customHeight="1" x14ac:dyDescent="0.35"/>
    <row r="549" ht="14.25" customHeight="1" x14ac:dyDescent="0.35"/>
    <row r="550" ht="14.25" customHeight="1" x14ac:dyDescent="0.35"/>
    <row r="551" ht="14.25" customHeight="1" x14ac:dyDescent="0.35"/>
    <row r="552" ht="14.25" customHeight="1" x14ac:dyDescent="0.35"/>
    <row r="553" ht="14.25" customHeight="1" x14ac:dyDescent="0.35"/>
    <row r="554" ht="14.25" customHeight="1" x14ac:dyDescent="0.35"/>
    <row r="555" ht="14.25" customHeight="1" x14ac:dyDescent="0.35"/>
    <row r="556" ht="14.25" customHeight="1" x14ac:dyDescent="0.35"/>
    <row r="557" ht="14.25" customHeight="1" x14ac:dyDescent="0.35"/>
    <row r="558" ht="14.25" customHeight="1" x14ac:dyDescent="0.35"/>
    <row r="559" ht="14.25" customHeight="1" x14ac:dyDescent="0.35"/>
    <row r="560" ht="14.25" customHeight="1" x14ac:dyDescent="0.35"/>
    <row r="561" ht="14.25" customHeight="1" x14ac:dyDescent="0.35"/>
    <row r="562" ht="14.25" customHeight="1" x14ac:dyDescent="0.35"/>
    <row r="563" ht="14.25" customHeight="1" x14ac:dyDescent="0.35"/>
    <row r="564" ht="14.25" customHeight="1" x14ac:dyDescent="0.35"/>
    <row r="565" ht="14.25" customHeight="1" x14ac:dyDescent="0.35"/>
    <row r="566" ht="14.25" customHeight="1" x14ac:dyDescent="0.35"/>
    <row r="567" ht="14.25" customHeight="1" x14ac:dyDescent="0.35"/>
    <row r="568" ht="14.25" customHeight="1" x14ac:dyDescent="0.35"/>
    <row r="569" ht="14.25" customHeight="1" x14ac:dyDescent="0.35"/>
    <row r="570" ht="14.25" customHeight="1" x14ac:dyDescent="0.35"/>
    <row r="571" ht="14.25" customHeight="1" x14ac:dyDescent="0.35"/>
    <row r="572" ht="14.25" customHeight="1" x14ac:dyDescent="0.35"/>
    <row r="573" ht="14.25" customHeight="1" x14ac:dyDescent="0.35"/>
    <row r="574" ht="14.25" customHeight="1" x14ac:dyDescent="0.35"/>
    <row r="575" ht="14.25" customHeight="1" x14ac:dyDescent="0.35"/>
    <row r="576" ht="14.25" customHeight="1" x14ac:dyDescent="0.35"/>
    <row r="577" ht="14.25" customHeight="1" x14ac:dyDescent="0.35"/>
    <row r="578" ht="14.25" customHeight="1" x14ac:dyDescent="0.35"/>
    <row r="579" ht="14.25" customHeight="1" x14ac:dyDescent="0.35"/>
    <row r="580" ht="14.25" customHeight="1" x14ac:dyDescent="0.35"/>
    <row r="581" ht="14.25" customHeight="1" x14ac:dyDescent="0.35"/>
    <row r="582" ht="14.25" customHeight="1" x14ac:dyDescent="0.35"/>
    <row r="583" ht="14.25" customHeight="1" x14ac:dyDescent="0.35"/>
    <row r="584" ht="14.25" customHeight="1" x14ac:dyDescent="0.35"/>
    <row r="585" ht="14.25" customHeight="1" x14ac:dyDescent="0.35"/>
    <row r="586" ht="14.25" customHeight="1" x14ac:dyDescent="0.35"/>
    <row r="587" ht="14.25" customHeight="1" x14ac:dyDescent="0.35"/>
    <row r="588" ht="14.25" customHeight="1" x14ac:dyDescent="0.35"/>
    <row r="589" ht="14.25" customHeight="1" x14ac:dyDescent="0.35"/>
    <row r="590" ht="14.25" customHeight="1" x14ac:dyDescent="0.35"/>
    <row r="591" ht="14.25" customHeight="1" x14ac:dyDescent="0.35"/>
    <row r="592" ht="14.25" customHeight="1" x14ac:dyDescent="0.35"/>
    <row r="593" ht="14.25" customHeight="1" x14ac:dyDescent="0.35"/>
    <row r="594" ht="14.25" customHeight="1" x14ac:dyDescent="0.35"/>
    <row r="595" ht="14.25" customHeight="1" x14ac:dyDescent="0.35"/>
    <row r="596" ht="14.25" customHeight="1" x14ac:dyDescent="0.35"/>
    <row r="597" ht="14.25" customHeight="1" x14ac:dyDescent="0.35"/>
    <row r="598" ht="14.25" customHeight="1" x14ac:dyDescent="0.35"/>
    <row r="599" ht="14.25" customHeight="1" x14ac:dyDescent="0.35"/>
    <row r="600" ht="14.25" customHeight="1" x14ac:dyDescent="0.35"/>
    <row r="601" ht="14.25" customHeight="1" x14ac:dyDescent="0.35"/>
    <row r="602" ht="14.25" customHeight="1" x14ac:dyDescent="0.35"/>
    <row r="603" ht="14.25" customHeight="1" x14ac:dyDescent="0.35"/>
    <row r="604" ht="14.25" customHeight="1" x14ac:dyDescent="0.35"/>
    <row r="605" ht="14.25" customHeight="1" x14ac:dyDescent="0.35"/>
    <row r="606" ht="14.25" customHeight="1" x14ac:dyDescent="0.35"/>
    <row r="607" ht="14.25" customHeight="1" x14ac:dyDescent="0.35"/>
    <row r="608" ht="14.25" customHeight="1" x14ac:dyDescent="0.35"/>
    <row r="609" ht="14.25" customHeight="1" x14ac:dyDescent="0.35"/>
    <row r="610" ht="14.25" customHeight="1" x14ac:dyDescent="0.35"/>
    <row r="611" ht="14.25" customHeight="1" x14ac:dyDescent="0.35"/>
    <row r="612" ht="14.25" customHeight="1" x14ac:dyDescent="0.35"/>
    <row r="613" ht="14.25" customHeight="1" x14ac:dyDescent="0.35"/>
    <row r="614" ht="14.25" customHeight="1" x14ac:dyDescent="0.35"/>
    <row r="615" ht="14.25" customHeight="1" x14ac:dyDescent="0.35"/>
    <row r="616" ht="14.25" customHeight="1" x14ac:dyDescent="0.35"/>
    <row r="617" ht="14.25" customHeight="1" x14ac:dyDescent="0.35"/>
    <row r="618" ht="14.25" customHeight="1" x14ac:dyDescent="0.35"/>
    <row r="619" ht="14.25" customHeight="1" x14ac:dyDescent="0.35"/>
    <row r="620" ht="14.25" customHeight="1" x14ac:dyDescent="0.35"/>
    <row r="621" ht="14.25" customHeight="1" x14ac:dyDescent="0.35"/>
    <row r="622" ht="14.25" customHeight="1" x14ac:dyDescent="0.35"/>
    <row r="623" ht="14.25" customHeight="1" x14ac:dyDescent="0.35"/>
    <row r="624" ht="14.25" customHeight="1" x14ac:dyDescent="0.35"/>
    <row r="625" ht="14.25" customHeight="1" x14ac:dyDescent="0.35"/>
    <row r="626" ht="14.25" customHeight="1" x14ac:dyDescent="0.35"/>
    <row r="627" ht="14.25" customHeight="1" x14ac:dyDescent="0.35"/>
    <row r="628" ht="14.25" customHeight="1" x14ac:dyDescent="0.35"/>
    <row r="629" ht="14.25" customHeight="1" x14ac:dyDescent="0.35"/>
    <row r="630" ht="14.25" customHeight="1" x14ac:dyDescent="0.35"/>
    <row r="631" ht="14.25" customHeight="1" x14ac:dyDescent="0.35"/>
    <row r="632" ht="14.25" customHeight="1" x14ac:dyDescent="0.35"/>
    <row r="633" ht="14.25" customHeight="1" x14ac:dyDescent="0.35"/>
    <row r="634" ht="14.25" customHeight="1" x14ac:dyDescent="0.35"/>
    <row r="635" ht="14.25" customHeight="1" x14ac:dyDescent="0.35"/>
    <row r="636" ht="14.25" customHeight="1" x14ac:dyDescent="0.35"/>
    <row r="637" ht="14.25" customHeight="1" x14ac:dyDescent="0.35"/>
    <row r="638" ht="14.25" customHeight="1" x14ac:dyDescent="0.35"/>
    <row r="639" ht="14.25" customHeight="1" x14ac:dyDescent="0.35"/>
    <row r="640" ht="14.25" customHeight="1" x14ac:dyDescent="0.35"/>
    <row r="641" ht="14.25" customHeight="1" x14ac:dyDescent="0.35"/>
    <row r="642" ht="14.25" customHeight="1" x14ac:dyDescent="0.35"/>
    <row r="643" ht="14.25" customHeight="1" x14ac:dyDescent="0.35"/>
    <row r="644" ht="14.25" customHeight="1" x14ac:dyDescent="0.35"/>
    <row r="645" ht="14.25" customHeight="1" x14ac:dyDescent="0.35"/>
    <row r="646" ht="14.25" customHeight="1" x14ac:dyDescent="0.35"/>
    <row r="647" ht="14.25" customHeight="1" x14ac:dyDescent="0.35"/>
    <row r="648" ht="14.25" customHeight="1" x14ac:dyDescent="0.35"/>
    <row r="649" ht="14.25" customHeight="1" x14ac:dyDescent="0.35"/>
    <row r="650" ht="14.25" customHeight="1" x14ac:dyDescent="0.35"/>
    <row r="651" ht="14.25" customHeight="1" x14ac:dyDescent="0.35"/>
    <row r="652" ht="14.25" customHeight="1" x14ac:dyDescent="0.35"/>
    <row r="653" ht="14.25" customHeight="1" x14ac:dyDescent="0.35"/>
    <row r="654" ht="14.25" customHeight="1" x14ac:dyDescent="0.35"/>
    <row r="655" ht="14.25" customHeight="1" x14ac:dyDescent="0.35"/>
    <row r="656" ht="14.25" customHeight="1" x14ac:dyDescent="0.35"/>
    <row r="657" ht="14.25" customHeight="1" x14ac:dyDescent="0.35"/>
    <row r="658" ht="14.25" customHeight="1" x14ac:dyDescent="0.35"/>
    <row r="659" ht="14.25" customHeight="1" x14ac:dyDescent="0.35"/>
    <row r="660" ht="14.25" customHeight="1" x14ac:dyDescent="0.35"/>
    <row r="661" ht="14.25" customHeight="1" x14ac:dyDescent="0.35"/>
    <row r="662" ht="14.25" customHeight="1" x14ac:dyDescent="0.35"/>
    <row r="663" ht="14.25" customHeight="1" x14ac:dyDescent="0.35"/>
    <row r="664" ht="14.25" customHeight="1" x14ac:dyDescent="0.35"/>
    <row r="665" ht="14.25" customHeight="1" x14ac:dyDescent="0.35"/>
    <row r="666" ht="14.25" customHeight="1" x14ac:dyDescent="0.35"/>
    <row r="667" ht="14.25" customHeight="1" x14ac:dyDescent="0.35"/>
    <row r="668" ht="14.25" customHeight="1" x14ac:dyDescent="0.35"/>
    <row r="669" ht="14.25" customHeight="1" x14ac:dyDescent="0.35"/>
    <row r="670" ht="14.25" customHeight="1" x14ac:dyDescent="0.35"/>
    <row r="671" ht="14.25" customHeight="1" x14ac:dyDescent="0.35"/>
    <row r="672" ht="14.25" customHeight="1" x14ac:dyDescent="0.35"/>
    <row r="673" ht="14.25" customHeight="1" x14ac:dyDescent="0.35"/>
    <row r="674" ht="14.25" customHeight="1" x14ac:dyDescent="0.35"/>
    <row r="675" ht="14.25" customHeight="1" x14ac:dyDescent="0.35"/>
    <row r="676" ht="14.25" customHeight="1" x14ac:dyDescent="0.35"/>
    <row r="677" ht="14.25" customHeight="1" x14ac:dyDescent="0.35"/>
    <row r="678" ht="14.25" customHeight="1" x14ac:dyDescent="0.35"/>
    <row r="679" ht="14.25" customHeight="1" x14ac:dyDescent="0.35"/>
    <row r="680" ht="14.25" customHeight="1" x14ac:dyDescent="0.35"/>
    <row r="681" ht="14.25" customHeight="1" x14ac:dyDescent="0.35"/>
    <row r="682" ht="14.25" customHeight="1" x14ac:dyDescent="0.35"/>
    <row r="683" ht="14.25" customHeight="1" x14ac:dyDescent="0.35"/>
    <row r="684" ht="14.25" customHeight="1" x14ac:dyDescent="0.35"/>
    <row r="685" ht="14.25" customHeight="1" x14ac:dyDescent="0.35"/>
    <row r="686" ht="14.25" customHeight="1" x14ac:dyDescent="0.35"/>
    <row r="687" ht="14.25" customHeight="1" x14ac:dyDescent="0.35"/>
    <row r="688" ht="14.25" customHeight="1" x14ac:dyDescent="0.35"/>
    <row r="689" ht="14.25" customHeight="1" x14ac:dyDescent="0.35"/>
    <row r="690" ht="14.25" customHeight="1" x14ac:dyDescent="0.35"/>
    <row r="691" ht="14.25" customHeight="1" x14ac:dyDescent="0.35"/>
    <row r="692" ht="14.25" customHeight="1" x14ac:dyDescent="0.35"/>
    <row r="693" ht="14.25" customHeight="1" x14ac:dyDescent="0.35"/>
    <row r="694" ht="14.25" customHeight="1" x14ac:dyDescent="0.35"/>
    <row r="695" ht="14.25" customHeight="1" x14ac:dyDescent="0.35"/>
    <row r="696" ht="14.25" customHeight="1" x14ac:dyDescent="0.35"/>
    <row r="697" ht="14.25" customHeight="1" x14ac:dyDescent="0.35"/>
    <row r="698" ht="14.25" customHeight="1" x14ac:dyDescent="0.35"/>
    <row r="699" ht="14.25" customHeight="1" x14ac:dyDescent="0.35"/>
    <row r="700" ht="14.25" customHeight="1" x14ac:dyDescent="0.35"/>
    <row r="701" ht="14.25" customHeight="1" x14ac:dyDescent="0.35"/>
    <row r="702" ht="14.25" customHeight="1" x14ac:dyDescent="0.35"/>
    <row r="703" ht="14.25" customHeight="1" x14ac:dyDescent="0.35"/>
    <row r="704" ht="14.25" customHeight="1" x14ac:dyDescent="0.35"/>
    <row r="705" ht="14.25" customHeight="1" x14ac:dyDescent="0.35"/>
    <row r="706" ht="14.25" customHeight="1" x14ac:dyDescent="0.35"/>
    <row r="707" ht="14.25" customHeight="1" x14ac:dyDescent="0.35"/>
    <row r="708" ht="14.25" customHeight="1" x14ac:dyDescent="0.35"/>
    <row r="709" ht="14.25" customHeight="1" x14ac:dyDescent="0.35"/>
    <row r="710" ht="14.25" customHeight="1" x14ac:dyDescent="0.35"/>
    <row r="711" ht="14.25" customHeight="1" x14ac:dyDescent="0.35"/>
    <row r="712" ht="14.25" customHeight="1" x14ac:dyDescent="0.35"/>
    <row r="713" ht="14.25" customHeight="1" x14ac:dyDescent="0.35"/>
    <row r="714" ht="14.25" customHeight="1" x14ac:dyDescent="0.35"/>
    <row r="715" ht="14.25" customHeight="1" x14ac:dyDescent="0.35"/>
    <row r="716" ht="14.25" customHeight="1" x14ac:dyDescent="0.35"/>
    <row r="717" ht="14.25" customHeight="1" x14ac:dyDescent="0.35"/>
    <row r="718" ht="14.25" customHeight="1" x14ac:dyDescent="0.35"/>
    <row r="719" ht="14.25" customHeight="1" x14ac:dyDescent="0.35"/>
    <row r="720" ht="14.25" customHeight="1" x14ac:dyDescent="0.35"/>
    <row r="721" ht="14.25" customHeight="1" x14ac:dyDescent="0.35"/>
    <row r="722" ht="14.25" customHeight="1" x14ac:dyDescent="0.35"/>
    <row r="723" ht="14.25" customHeight="1" x14ac:dyDescent="0.35"/>
    <row r="724" ht="14.25" customHeight="1" x14ac:dyDescent="0.35"/>
    <row r="725" ht="14.25" customHeight="1" x14ac:dyDescent="0.35"/>
    <row r="726" ht="14.25" customHeight="1" x14ac:dyDescent="0.35"/>
    <row r="727" ht="14.25" customHeight="1" x14ac:dyDescent="0.35"/>
    <row r="728" ht="14.25" customHeight="1" x14ac:dyDescent="0.35"/>
    <row r="729" ht="14.25" customHeight="1" x14ac:dyDescent="0.35"/>
    <row r="730" ht="14.25" customHeight="1" x14ac:dyDescent="0.35"/>
    <row r="731" ht="14.25" customHeight="1" x14ac:dyDescent="0.35"/>
    <row r="732" ht="14.25" customHeight="1" x14ac:dyDescent="0.35"/>
    <row r="733" ht="14.25" customHeight="1" x14ac:dyDescent="0.35"/>
    <row r="734" ht="14.25" customHeight="1" x14ac:dyDescent="0.35"/>
    <row r="735" ht="14.25" customHeight="1" x14ac:dyDescent="0.35"/>
    <row r="736" ht="14.25" customHeight="1" x14ac:dyDescent="0.35"/>
    <row r="737" ht="14.25" customHeight="1" x14ac:dyDescent="0.35"/>
    <row r="738" ht="14.25" customHeight="1" x14ac:dyDescent="0.35"/>
    <row r="739" ht="14.25" customHeight="1" x14ac:dyDescent="0.35"/>
    <row r="740" ht="14.25" customHeight="1" x14ac:dyDescent="0.35"/>
    <row r="741" ht="14.25" customHeight="1" x14ac:dyDescent="0.35"/>
    <row r="742" ht="14.25" customHeight="1" x14ac:dyDescent="0.35"/>
    <row r="743" ht="14.25" customHeight="1" x14ac:dyDescent="0.35"/>
    <row r="744" ht="14.25" customHeight="1" x14ac:dyDescent="0.35"/>
    <row r="745" ht="14.25" customHeight="1" x14ac:dyDescent="0.35"/>
    <row r="746" ht="14.25" customHeight="1" x14ac:dyDescent="0.35"/>
    <row r="747" ht="14.25" customHeight="1" x14ac:dyDescent="0.35"/>
    <row r="748" ht="14.25" customHeight="1" x14ac:dyDescent="0.35"/>
    <row r="749" ht="14.25" customHeight="1" x14ac:dyDescent="0.35"/>
    <row r="750" ht="14.25" customHeight="1" x14ac:dyDescent="0.35"/>
    <row r="751" ht="14.25" customHeight="1" x14ac:dyDescent="0.35"/>
    <row r="752" ht="14.25" customHeight="1" x14ac:dyDescent="0.35"/>
    <row r="753" ht="14.25" customHeight="1" x14ac:dyDescent="0.35"/>
    <row r="754" ht="14.25" customHeight="1" x14ac:dyDescent="0.35"/>
    <row r="755" ht="14.25" customHeight="1" x14ac:dyDescent="0.35"/>
    <row r="756" ht="14.25" customHeight="1" x14ac:dyDescent="0.35"/>
    <row r="757" ht="14.25" customHeight="1" x14ac:dyDescent="0.35"/>
    <row r="758" ht="14.25" customHeight="1" x14ac:dyDescent="0.35"/>
    <row r="759" ht="14.25" customHeight="1" x14ac:dyDescent="0.35"/>
    <row r="760" ht="14.25" customHeight="1" x14ac:dyDescent="0.35"/>
    <row r="761" ht="14.25" customHeight="1" x14ac:dyDescent="0.35"/>
    <row r="762" ht="14.25" customHeight="1" x14ac:dyDescent="0.35"/>
    <row r="763" ht="14.25" customHeight="1" x14ac:dyDescent="0.35"/>
    <row r="764" ht="14.25" customHeight="1" x14ac:dyDescent="0.35"/>
    <row r="765" ht="14.25" customHeight="1" x14ac:dyDescent="0.35"/>
    <row r="766" ht="14.25" customHeight="1" x14ac:dyDescent="0.35"/>
    <row r="767" ht="14.25" customHeight="1" x14ac:dyDescent="0.35"/>
    <row r="768" ht="14.25" customHeight="1" x14ac:dyDescent="0.35"/>
    <row r="769" ht="14.25" customHeight="1" x14ac:dyDescent="0.35"/>
    <row r="770" ht="14.25" customHeight="1" x14ac:dyDescent="0.35"/>
    <row r="771" ht="14.25" customHeight="1" x14ac:dyDescent="0.35"/>
    <row r="772" ht="14.25" customHeight="1" x14ac:dyDescent="0.35"/>
    <row r="773" ht="14.25" customHeight="1" x14ac:dyDescent="0.35"/>
    <row r="774" ht="14.25" customHeight="1" x14ac:dyDescent="0.35"/>
    <row r="775" ht="14.25" customHeight="1" x14ac:dyDescent="0.35"/>
    <row r="776" ht="14.25" customHeight="1" x14ac:dyDescent="0.35"/>
    <row r="777" ht="14.25" customHeight="1" x14ac:dyDescent="0.35"/>
    <row r="778" ht="14.25" customHeight="1" x14ac:dyDescent="0.35"/>
    <row r="779" ht="14.25" customHeight="1" x14ac:dyDescent="0.35"/>
    <row r="780" ht="14.25" customHeight="1" x14ac:dyDescent="0.35"/>
    <row r="781" ht="14.25" customHeight="1" x14ac:dyDescent="0.35"/>
    <row r="782" ht="14.25" customHeight="1" x14ac:dyDescent="0.35"/>
    <row r="783" ht="14.25" customHeight="1" x14ac:dyDescent="0.35"/>
    <row r="784" ht="14.25" customHeight="1" x14ac:dyDescent="0.35"/>
    <row r="785" ht="14.25" customHeight="1" x14ac:dyDescent="0.35"/>
    <row r="786" ht="14.25" customHeight="1" x14ac:dyDescent="0.35"/>
    <row r="787" ht="14.25" customHeight="1" x14ac:dyDescent="0.35"/>
    <row r="788" ht="14.25" customHeight="1" x14ac:dyDescent="0.35"/>
    <row r="789" ht="14.25" customHeight="1" x14ac:dyDescent="0.35"/>
    <row r="790" ht="14.25" customHeight="1" x14ac:dyDescent="0.35"/>
    <row r="791" ht="14.25" customHeight="1" x14ac:dyDescent="0.35"/>
    <row r="792" ht="14.25" customHeight="1" x14ac:dyDescent="0.35"/>
    <row r="793" ht="14.25" customHeight="1" x14ac:dyDescent="0.35"/>
    <row r="794" ht="14.25" customHeight="1" x14ac:dyDescent="0.35"/>
    <row r="795" ht="14.25" customHeight="1" x14ac:dyDescent="0.35"/>
    <row r="796" ht="14.25" customHeight="1" x14ac:dyDescent="0.35"/>
    <row r="797" ht="14.25" customHeight="1" x14ac:dyDescent="0.35"/>
    <row r="798" ht="14.25" customHeight="1" x14ac:dyDescent="0.35"/>
    <row r="799" ht="14.25" customHeight="1" x14ac:dyDescent="0.35"/>
    <row r="800" ht="14.25" customHeight="1" x14ac:dyDescent="0.35"/>
    <row r="801" ht="14.25" customHeight="1" x14ac:dyDescent="0.35"/>
    <row r="802" ht="14.25" customHeight="1" x14ac:dyDescent="0.35"/>
    <row r="803" ht="14.25" customHeight="1" x14ac:dyDescent="0.35"/>
    <row r="804" ht="14.25" customHeight="1" x14ac:dyDescent="0.35"/>
    <row r="805" ht="14.25" customHeight="1" x14ac:dyDescent="0.35"/>
    <row r="806" ht="14.25" customHeight="1" x14ac:dyDescent="0.35"/>
    <row r="807" ht="14.25" customHeight="1" x14ac:dyDescent="0.35"/>
    <row r="808" ht="14.25" customHeight="1" x14ac:dyDescent="0.35"/>
    <row r="809" ht="14.25" customHeight="1" x14ac:dyDescent="0.35"/>
    <row r="810" ht="14.25" customHeight="1" x14ac:dyDescent="0.35"/>
    <row r="811" ht="14.25" customHeight="1" x14ac:dyDescent="0.35"/>
    <row r="812" ht="14.25" customHeight="1" x14ac:dyDescent="0.35"/>
    <row r="813" ht="14.25" customHeight="1" x14ac:dyDescent="0.35"/>
    <row r="814" ht="14.25" customHeight="1" x14ac:dyDescent="0.35"/>
    <row r="815" ht="14.25" customHeight="1" x14ac:dyDescent="0.35"/>
    <row r="816" ht="14.25" customHeight="1" x14ac:dyDescent="0.35"/>
    <row r="817" ht="14.25" customHeight="1" x14ac:dyDescent="0.35"/>
    <row r="818" ht="14.25" customHeight="1" x14ac:dyDescent="0.35"/>
    <row r="819" ht="14.25" customHeight="1" x14ac:dyDescent="0.35"/>
    <row r="820" ht="14.25" customHeight="1" x14ac:dyDescent="0.35"/>
    <row r="821" ht="14.25" customHeight="1" x14ac:dyDescent="0.35"/>
    <row r="822" ht="14.25" customHeight="1" x14ac:dyDescent="0.35"/>
    <row r="823" ht="14.25" customHeight="1" x14ac:dyDescent="0.35"/>
    <row r="824" ht="14.25" customHeight="1" x14ac:dyDescent="0.35"/>
    <row r="825" ht="14.25" customHeight="1" x14ac:dyDescent="0.35"/>
    <row r="826" ht="14.25" customHeight="1" x14ac:dyDescent="0.35"/>
    <row r="827" ht="14.25" customHeight="1" x14ac:dyDescent="0.35"/>
    <row r="828" ht="14.25" customHeight="1" x14ac:dyDescent="0.35"/>
    <row r="829" ht="14.25" customHeight="1" x14ac:dyDescent="0.35"/>
    <row r="830" ht="14.25" customHeight="1" x14ac:dyDescent="0.35"/>
    <row r="831" ht="14.25" customHeight="1" x14ac:dyDescent="0.35"/>
    <row r="832" ht="14.25" customHeight="1" x14ac:dyDescent="0.35"/>
    <row r="833" ht="14.25" customHeight="1" x14ac:dyDescent="0.35"/>
    <row r="834" ht="14.25" customHeight="1" x14ac:dyDescent="0.35"/>
    <row r="835" ht="14.25" customHeight="1" x14ac:dyDescent="0.35"/>
    <row r="836" ht="14.25" customHeight="1" x14ac:dyDescent="0.35"/>
    <row r="837" ht="14.25" customHeight="1" x14ac:dyDescent="0.35"/>
    <row r="838" ht="14.25" customHeight="1" x14ac:dyDescent="0.35"/>
    <row r="839" ht="14.25" customHeight="1" x14ac:dyDescent="0.35"/>
    <row r="840" ht="14.25" customHeight="1" x14ac:dyDescent="0.35"/>
    <row r="841" ht="14.25" customHeight="1" x14ac:dyDescent="0.35"/>
    <row r="842" ht="14.25" customHeight="1" x14ac:dyDescent="0.35"/>
    <row r="843" ht="14.25" customHeight="1" x14ac:dyDescent="0.35"/>
    <row r="844" ht="14.25" customHeight="1" x14ac:dyDescent="0.35"/>
    <row r="845" ht="14.25" customHeight="1" x14ac:dyDescent="0.35"/>
    <row r="846" ht="14.25" customHeight="1" x14ac:dyDescent="0.35"/>
    <row r="847" ht="14.25" customHeight="1" x14ac:dyDescent="0.35"/>
    <row r="848" ht="14.25" customHeight="1" x14ac:dyDescent="0.35"/>
    <row r="849" ht="14.25" customHeight="1" x14ac:dyDescent="0.35"/>
    <row r="850" ht="14.25" customHeight="1" x14ac:dyDescent="0.35"/>
    <row r="851" ht="14.25" customHeight="1" x14ac:dyDescent="0.35"/>
    <row r="852" ht="14.25" customHeight="1" x14ac:dyDescent="0.35"/>
    <row r="853" ht="14.25" customHeight="1" x14ac:dyDescent="0.35"/>
    <row r="854" ht="14.25" customHeight="1" x14ac:dyDescent="0.35"/>
    <row r="855" ht="14.25" customHeight="1" x14ac:dyDescent="0.35"/>
    <row r="856" ht="14.25" customHeight="1" x14ac:dyDescent="0.35"/>
    <row r="857" ht="14.25" customHeight="1" x14ac:dyDescent="0.35"/>
    <row r="858" ht="14.25" customHeight="1" x14ac:dyDescent="0.35"/>
    <row r="859" ht="14.25" customHeight="1" x14ac:dyDescent="0.35"/>
    <row r="860" ht="14.25" customHeight="1" x14ac:dyDescent="0.35"/>
    <row r="861" ht="14.25" customHeight="1" x14ac:dyDescent="0.35"/>
    <row r="862" ht="14.25" customHeight="1" x14ac:dyDescent="0.35"/>
    <row r="863" ht="14.25" customHeight="1" x14ac:dyDescent="0.35"/>
    <row r="864" ht="14.25" customHeight="1" x14ac:dyDescent="0.35"/>
    <row r="865" ht="14.25" customHeight="1" x14ac:dyDescent="0.35"/>
    <row r="866" ht="14.25" customHeight="1" x14ac:dyDescent="0.35"/>
    <row r="867" ht="14.25" customHeight="1" x14ac:dyDescent="0.35"/>
    <row r="868" ht="14.25" customHeight="1" x14ac:dyDescent="0.35"/>
    <row r="869" ht="14.25" customHeight="1" x14ac:dyDescent="0.35"/>
    <row r="870" ht="14.25" customHeight="1" x14ac:dyDescent="0.35"/>
    <row r="871" ht="14.25" customHeight="1" x14ac:dyDescent="0.35"/>
    <row r="872" ht="14.25" customHeight="1" x14ac:dyDescent="0.35"/>
    <row r="873" ht="14.25" customHeight="1" x14ac:dyDescent="0.35"/>
    <row r="874" ht="14.25" customHeight="1" x14ac:dyDescent="0.35"/>
    <row r="875" ht="14.25" customHeight="1" x14ac:dyDescent="0.35"/>
    <row r="876" ht="14.25" customHeight="1" x14ac:dyDescent="0.35"/>
    <row r="877" ht="14.25" customHeight="1" x14ac:dyDescent="0.35"/>
    <row r="878" ht="14.25" customHeight="1" x14ac:dyDescent="0.35"/>
    <row r="879" ht="14.25" customHeight="1" x14ac:dyDescent="0.35"/>
    <row r="880" ht="14.25" customHeight="1" x14ac:dyDescent="0.35"/>
    <row r="881" ht="14.25" customHeight="1" x14ac:dyDescent="0.35"/>
    <row r="882" ht="14.25" customHeight="1" x14ac:dyDescent="0.35"/>
    <row r="883" ht="14.25" customHeight="1" x14ac:dyDescent="0.35"/>
    <row r="884" ht="14.25" customHeight="1" x14ac:dyDescent="0.35"/>
    <row r="885" ht="14.25" customHeight="1" x14ac:dyDescent="0.35"/>
    <row r="886" ht="14.25" customHeight="1" x14ac:dyDescent="0.35"/>
    <row r="887" ht="14.25" customHeight="1" x14ac:dyDescent="0.35"/>
    <row r="888" ht="14.25" customHeight="1" x14ac:dyDescent="0.35"/>
    <row r="889" ht="14.25" customHeight="1" x14ac:dyDescent="0.35"/>
    <row r="890" ht="14.25" customHeight="1" x14ac:dyDescent="0.35"/>
    <row r="891" ht="14.25" customHeight="1" x14ac:dyDescent="0.35"/>
    <row r="892" ht="14.25" customHeight="1" x14ac:dyDescent="0.35"/>
    <row r="893" ht="14.25" customHeight="1" x14ac:dyDescent="0.35"/>
    <row r="894" ht="14.25" customHeight="1" x14ac:dyDescent="0.35"/>
    <row r="895" ht="14.25" customHeight="1" x14ac:dyDescent="0.35"/>
    <row r="896" ht="14.25" customHeight="1" x14ac:dyDescent="0.35"/>
    <row r="897" ht="14.25" customHeight="1" x14ac:dyDescent="0.35"/>
    <row r="898" ht="14.25" customHeight="1" x14ac:dyDescent="0.35"/>
    <row r="899" ht="14.25" customHeight="1" x14ac:dyDescent="0.35"/>
    <row r="900" ht="14.25" customHeight="1" x14ac:dyDescent="0.35"/>
    <row r="901" ht="14.25" customHeight="1" x14ac:dyDescent="0.35"/>
    <row r="902" ht="14.25" customHeight="1" x14ac:dyDescent="0.35"/>
    <row r="903" ht="14.25" customHeight="1" x14ac:dyDescent="0.35"/>
    <row r="904" ht="14.25" customHeight="1" x14ac:dyDescent="0.35"/>
    <row r="905" ht="14.25" customHeight="1" x14ac:dyDescent="0.35"/>
    <row r="906" ht="14.25" customHeight="1" x14ac:dyDescent="0.35"/>
    <row r="907" ht="14.25" customHeight="1" x14ac:dyDescent="0.35"/>
    <row r="908" ht="14.25" customHeight="1" x14ac:dyDescent="0.35"/>
    <row r="909" ht="14.25" customHeight="1" x14ac:dyDescent="0.35"/>
    <row r="910" ht="14.25" customHeight="1" x14ac:dyDescent="0.35"/>
    <row r="911" ht="14.25" customHeight="1" x14ac:dyDescent="0.35"/>
    <row r="912" ht="14.25" customHeight="1" x14ac:dyDescent="0.35"/>
    <row r="913" ht="14.25" customHeight="1" x14ac:dyDescent="0.35"/>
    <row r="914" ht="14.25" customHeight="1" x14ac:dyDescent="0.35"/>
    <row r="915" ht="14.25" customHeight="1" x14ac:dyDescent="0.35"/>
    <row r="916" ht="14.25" customHeight="1" x14ac:dyDescent="0.35"/>
    <row r="917" ht="14.25" customHeight="1" x14ac:dyDescent="0.35"/>
    <row r="918" ht="14.25" customHeight="1" x14ac:dyDescent="0.35"/>
    <row r="919" ht="14.25" customHeight="1" x14ac:dyDescent="0.35"/>
    <row r="920" ht="14.25" customHeight="1" x14ac:dyDescent="0.35"/>
    <row r="921" ht="14.25" customHeight="1" x14ac:dyDescent="0.35"/>
    <row r="922" ht="14.25" customHeight="1" x14ac:dyDescent="0.35"/>
    <row r="923" ht="14.25" customHeight="1" x14ac:dyDescent="0.35"/>
    <row r="924" ht="14.25" customHeight="1" x14ac:dyDescent="0.35"/>
    <row r="925" ht="14.25" customHeight="1" x14ac:dyDescent="0.35"/>
    <row r="926" ht="14.25" customHeight="1" x14ac:dyDescent="0.35"/>
    <row r="927" ht="14.25" customHeight="1" x14ac:dyDescent="0.35"/>
    <row r="928" ht="14.25" customHeight="1" x14ac:dyDescent="0.35"/>
    <row r="929" ht="14.25" customHeight="1" x14ac:dyDescent="0.35"/>
    <row r="930" ht="14.25" customHeight="1" x14ac:dyDescent="0.35"/>
    <row r="931" ht="14.25" customHeight="1" x14ac:dyDescent="0.35"/>
    <row r="932" ht="14.25" customHeight="1" x14ac:dyDescent="0.35"/>
    <row r="933" ht="14.25" customHeight="1" x14ac:dyDescent="0.35"/>
    <row r="934" ht="14.25" customHeight="1" x14ac:dyDescent="0.35"/>
    <row r="935" ht="14.25" customHeight="1" x14ac:dyDescent="0.35"/>
    <row r="936" ht="14.25" customHeight="1" x14ac:dyDescent="0.35"/>
    <row r="937" ht="14.25" customHeight="1" x14ac:dyDescent="0.35"/>
    <row r="938" ht="14.25" customHeight="1" x14ac:dyDescent="0.35"/>
    <row r="939" ht="14.25" customHeight="1" x14ac:dyDescent="0.35"/>
    <row r="940" ht="14.25" customHeight="1" x14ac:dyDescent="0.35"/>
    <row r="941" ht="14.25" customHeight="1" x14ac:dyDescent="0.35"/>
    <row r="942" ht="14.25" customHeight="1" x14ac:dyDescent="0.35"/>
    <row r="943" ht="14.25" customHeight="1" x14ac:dyDescent="0.35"/>
    <row r="944" ht="14.25" customHeight="1" x14ac:dyDescent="0.35"/>
    <row r="945" ht="14.25" customHeight="1" x14ac:dyDescent="0.35"/>
    <row r="946" ht="14.25" customHeight="1" x14ac:dyDescent="0.35"/>
    <row r="947" ht="14.25" customHeight="1" x14ac:dyDescent="0.35"/>
    <row r="948" ht="14.25" customHeight="1" x14ac:dyDescent="0.35"/>
    <row r="949" ht="14.25" customHeight="1" x14ac:dyDescent="0.35"/>
    <row r="950" ht="14.25" customHeight="1" x14ac:dyDescent="0.35"/>
    <row r="951" ht="14.25" customHeight="1" x14ac:dyDescent="0.35"/>
    <row r="952" ht="14.25" customHeight="1" x14ac:dyDescent="0.35"/>
    <row r="953" ht="14.25" customHeight="1" x14ac:dyDescent="0.35"/>
    <row r="954" ht="14.25" customHeight="1" x14ac:dyDescent="0.35"/>
    <row r="955" ht="14.25" customHeight="1" x14ac:dyDescent="0.35"/>
    <row r="956" ht="14.25" customHeight="1" x14ac:dyDescent="0.35"/>
    <row r="957" ht="14.25" customHeight="1" x14ac:dyDescent="0.35"/>
    <row r="958" ht="14.25" customHeight="1" x14ac:dyDescent="0.35"/>
    <row r="959" ht="14.25" customHeight="1" x14ac:dyDescent="0.35"/>
    <row r="960" ht="14.25" customHeight="1" x14ac:dyDescent="0.35"/>
    <row r="961" ht="14.25" customHeight="1" x14ac:dyDescent="0.35"/>
    <row r="962" ht="14.25" customHeight="1" x14ac:dyDescent="0.35"/>
    <row r="963" ht="14.25" customHeight="1" x14ac:dyDescent="0.35"/>
    <row r="964" ht="14.25" customHeight="1" x14ac:dyDescent="0.35"/>
    <row r="965" ht="14.25" customHeight="1" x14ac:dyDescent="0.35"/>
    <row r="966" ht="14.25" customHeight="1" x14ac:dyDescent="0.35"/>
    <row r="967" ht="14.25" customHeight="1" x14ac:dyDescent="0.35"/>
    <row r="968" ht="14.25" customHeight="1" x14ac:dyDescent="0.35"/>
    <row r="969" ht="14.25" customHeight="1" x14ac:dyDescent="0.35"/>
    <row r="970" ht="14.25" customHeight="1" x14ac:dyDescent="0.35"/>
    <row r="971" ht="14.25" customHeight="1" x14ac:dyDescent="0.35"/>
    <row r="972" ht="14.25" customHeight="1" x14ac:dyDescent="0.35"/>
    <row r="973" ht="14.25" customHeight="1" x14ac:dyDescent="0.35"/>
    <row r="974" ht="14.25" customHeight="1" x14ac:dyDescent="0.35"/>
    <row r="975" ht="14.25" customHeight="1" x14ac:dyDescent="0.35"/>
    <row r="976" ht="14.25" customHeight="1" x14ac:dyDescent="0.35"/>
    <row r="977" ht="14.25" customHeight="1" x14ac:dyDescent="0.35"/>
    <row r="978" ht="14.25" customHeight="1" x14ac:dyDescent="0.35"/>
    <row r="979" ht="14.25" customHeight="1" x14ac:dyDescent="0.35"/>
    <row r="980" ht="14.25" customHeight="1" x14ac:dyDescent="0.35"/>
    <row r="981" ht="14.25" customHeight="1" x14ac:dyDescent="0.35"/>
    <row r="982" ht="14.25" customHeight="1" x14ac:dyDescent="0.35"/>
    <row r="983" ht="14.25" customHeight="1" x14ac:dyDescent="0.35"/>
    <row r="984" ht="14.25" customHeight="1" x14ac:dyDescent="0.35"/>
    <row r="985" ht="14.25" customHeight="1" x14ac:dyDescent="0.35"/>
    <row r="986" ht="14.25" customHeight="1" x14ac:dyDescent="0.35"/>
    <row r="987" ht="14.25" customHeight="1" x14ac:dyDescent="0.35"/>
    <row r="988" ht="14.25" customHeight="1" x14ac:dyDescent="0.35"/>
    <row r="989" ht="14.25" customHeight="1" x14ac:dyDescent="0.35"/>
    <row r="990" ht="14.25" customHeight="1" x14ac:dyDescent="0.35"/>
    <row r="991" ht="14.25" customHeight="1" x14ac:dyDescent="0.35"/>
    <row r="992" ht="14.25" customHeight="1" x14ac:dyDescent="0.35"/>
    <row r="993" ht="14.25" customHeight="1" x14ac:dyDescent="0.35"/>
    <row r="994" ht="14.25" customHeight="1" x14ac:dyDescent="0.35"/>
    <row r="995" ht="14.25" customHeight="1" x14ac:dyDescent="0.35"/>
    <row r="996" ht="14.25" customHeight="1" x14ac:dyDescent="0.35"/>
    <row r="997" ht="14.25" customHeight="1" x14ac:dyDescent="0.35"/>
    <row r="998" ht="14.25" customHeight="1" x14ac:dyDescent="0.35"/>
    <row r="999" ht="14.25" customHeight="1" x14ac:dyDescent="0.35"/>
    <row r="1000" ht="14.25" customHeight="1" x14ac:dyDescent="0.35"/>
  </sheetData>
  <pageMargins left="0.7" right="0.7" top="0.75" bottom="0.75" header="0.511811023622047" footer="0.511811023622047"/>
  <pageSetup orientation="landscape" horizontalDpi="300" verticalDpi="300"/>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G1000"/>
  <sheetViews>
    <sheetView showGridLines="0" zoomScaleNormal="100" workbookViewId="0">
      <selection activeCell="J13" sqref="J13"/>
    </sheetView>
  </sheetViews>
  <sheetFormatPr defaultColWidth="14.453125" defaultRowHeight="14.5" x14ac:dyDescent="0.35"/>
  <cols>
    <col min="1" max="1" width="8.7265625" customWidth="1"/>
    <col min="2" max="2" width="12" customWidth="1"/>
    <col min="3" max="3" width="14.7265625" customWidth="1"/>
    <col min="4" max="4" width="6.54296875" customWidth="1"/>
    <col min="5" max="5" width="8.81640625" customWidth="1"/>
    <col min="6" max="6" width="3.81640625" customWidth="1"/>
    <col min="7" max="7" width="10.08984375" customWidth="1"/>
    <col min="8" max="26" width="8.7265625" customWidth="1"/>
  </cols>
  <sheetData>
    <row r="1" spans="2:7" ht="14.25" customHeight="1" x14ac:dyDescent="0.35"/>
    <row r="2" spans="2:7" ht="14.25" customHeight="1" x14ac:dyDescent="0.35"/>
    <row r="3" spans="2:7" ht="14.25" customHeight="1" x14ac:dyDescent="0.35">
      <c r="B3" s="96" t="s">
        <v>74</v>
      </c>
      <c r="C3" s="96" t="s">
        <v>75</v>
      </c>
    </row>
    <row r="4" spans="2:7" ht="14.25" customHeight="1" x14ac:dyDescent="0.35">
      <c r="B4" s="90" t="s">
        <v>76</v>
      </c>
      <c r="C4" s="91" t="s">
        <v>58</v>
      </c>
      <c r="D4" s="91" t="s">
        <v>64</v>
      </c>
      <c r="E4" s="91" t="s">
        <v>44</v>
      </c>
      <c r="F4" s="91" t="s">
        <v>66</v>
      </c>
      <c r="G4" s="91" t="s">
        <v>77</v>
      </c>
    </row>
    <row r="5" spans="2:7" ht="14.25" customHeight="1" x14ac:dyDescent="0.35">
      <c r="B5" s="92">
        <v>45839</v>
      </c>
      <c r="C5" s="49"/>
      <c r="D5" s="49"/>
      <c r="E5" s="87">
        <v>12</v>
      </c>
      <c r="F5" s="87">
        <v>35</v>
      </c>
      <c r="G5" s="87">
        <v>47</v>
      </c>
    </row>
    <row r="6" spans="2:7" ht="14.25" customHeight="1" x14ac:dyDescent="0.35">
      <c r="B6" s="92">
        <v>45840</v>
      </c>
      <c r="C6" s="49"/>
      <c r="D6" s="87">
        <v>22</v>
      </c>
      <c r="E6" s="49"/>
      <c r="F6" s="49"/>
      <c r="G6" s="87">
        <v>22</v>
      </c>
    </row>
    <row r="7" spans="2:7" ht="14.25" customHeight="1" x14ac:dyDescent="0.35">
      <c r="B7" s="92">
        <v>45841</v>
      </c>
      <c r="C7" s="87">
        <v>15</v>
      </c>
      <c r="D7" s="49"/>
      <c r="E7" s="87">
        <v>18</v>
      </c>
      <c r="F7" s="49"/>
      <c r="G7" s="87">
        <v>33</v>
      </c>
    </row>
    <row r="8" spans="2:7" ht="14.25" customHeight="1" x14ac:dyDescent="0.35">
      <c r="B8" s="92">
        <v>45842</v>
      </c>
      <c r="C8" s="49"/>
      <c r="D8" s="87">
        <v>10</v>
      </c>
      <c r="E8" s="49"/>
      <c r="F8" s="87">
        <v>40</v>
      </c>
      <c r="G8" s="87">
        <v>50</v>
      </c>
    </row>
    <row r="9" spans="2:7" ht="14.25" customHeight="1" x14ac:dyDescent="0.35">
      <c r="B9" s="92">
        <v>45843</v>
      </c>
      <c r="C9" s="87">
        <v>25</v>
      </c>
      <c r="D9" s="49"/>
      <c r="E9" s="49"/>
      <c r="F9" s="49"/>
      <c r="G9" s="87">
        <v>25</v>
      </c>
    </row>
    <row r="10" spans="2:7" ht="14.25" customHeight="1" x14ac:dyDescent="0.35">
      <c r="B10" s="92">
        <v>45844</v>
      </c>
      <c r="C10" s="49"/>
      <c r="D10" s="49"/>
      <c r="E10" s="87">
        <v>30</v>
      </c>
      <c r="F10" s="87">
        <v>28</v>
      </c>
      <c r="G10" s="87">
        <v>58</v>
      </c>
    </row>
    <row r="11" spans="2:7" ht="14.25" customHeight="1" x14ac:dyDescent="0.35">
      <c r="B11" s="92">
        <v>45845</v>
      </c>
      <c r="C11" s="49"/>
      <c r="D11" s="87">
        <v>12</v>
      </c>
      <c r="E11" s="49"/>
      <c r="F11" s="49"/>
      <c r="G11" s="87">
        <v>12</v>
      </c>
    </row>
    <row r="12" spans="2:7" ht="14.25" customHeight="1" x14ac:dyDescent="0.35">
      <c r="B12" s="92">
        <v>45846</v>
      </c>
      <c r="C12" s="87">
        <v>59</v>
      </c>
      <c r="D12" s="49"/>
      <c r="E12" s="87">
        <v>30</v>
      </c>
      <c r="F12" s="49"/>
      <c r="G12" s="87">
        <v>89</v>
      </c>
    </row>
    <row r="13" spans="2:7" ht="14.25" customHeight="1" x14ac:dyDescent="0.35">
      <c r="B13" s="92">
        <v>45847</v>
      </c>
      <c r="C13" s="49"/>
      <c r="D13" s="87">
        <v>67</v>
      </c>
      <c r="E13" s="49"/>
      <c r="F13" s="87">
        <v>76</v>
      </c>
      <c r="G13" s="87">
        <v>143</v>
      </c>
    </row>
    <row r="14" spans="2:7" ht="14.25" customHeight="1" x14ac:dyDescent="0.35">
      <c r="B14" s="92">
        <v>45848</v>
      </c>
      <c r="C14" s="87">
        <v>19</v>
      </c>
      <c r="D14" s="87">
        <v>16</v>
      </c>
      <c r="E14" s="87">
        <v>20</v>
      </c>
      <c r="F14" s="49"/>
      <c r="G14" s="87">
        <v>55</v>
      </c>
    </row>
    <row r="15" spans="2:7" ht="14.25" customHeight="1" x14ac:dyDescent="0.35">
      <c r="B15" s="85" t="s">
        <v>77</v>
      </c>
      <c r="C15" s="88">
        <v>118</v>
      </c>
      <c r="D15" s="88">
        <v>127</v>
      </c>
      <c r="E15" s="88">
        <v>110</v>
      </c>
      <c r="F15" s="88">
        <v>179</v>
      </c>
      <c r="G15" s="88">
        <v>534</v>
      </c>
    </row>
    <row r="16" spans="2:7" ht="14.25" customHeight="1" x14ac:dyDescent="0.35"/>
    <row r="17" ht="14.25" customHeight="1" x14ac:dyDescent="0.35"/>
    <row r="18" ht="14.25" customHeight="1" x14ac:dyDescent="0.35"/>
    <row r="19" ht="14.25" customHeight="1" x14ac:dyDescent="0.35"/>
    <row r="20" ht="14.25" customHeight="1" x14ac:dyDescent="0.35"/>
    <row r="21" ht="14.25" customHeight="1" x14ac:dyDescent="0.35"/>
    <row r="22" ht="14.25" customHeight="1" x14ac:dyDescent="0.35"/>
    <row r="23" ht="14.25" customHeight="1" x14ac:dyDescent="0.35"/>
    <row r="24" ht="14.25" customHeight="1" x14ac:dyDescent="0.35"/>
    <row r="25" ht="14.25" customHeight="1" x14ac:dyDescent="0.35"/>
    <row r="26" ht="14.25" customHeight="1" x14ac:dyDescent="0.35"/>
    <row r="27" ht="14.25" customHeight="1" x14ac:dyDescent="0.35"/>
    <row r="28" ht="14.25" customHeight="1" x14ac:dyDescent="0.35"/>
    <row r="29" ht="14.25" customHeight="1" x14ac:dyDescent="0.35"/>
    <row r="30" ht="14.25" customHeight="1" x14ac:dyDescent="0.35"/>
    <row r="31" ht="14.25" customHeight="1" x14ac:dyDescent="0.35"/>
    <row r="32" ht="14.25" customHeight="1" x14ac:dyDescent="0.35"/>
    <row r="33" ht="14.25" customHeight="1" x14ac:dyDescent="0.35"/>
    <row r="34" ht="14.25" customHeight="1" x14ac:dyDescent="0.35"/>
    <row r="35" ht="14.25" customHeight="1" x14ac:dyDescent="0.35"/>
    <row r="36" ht="14.25" customHeight="1" x14ac:dyDescent="0.35"/>
    <row r="37" ht="14.25" customHeight="1" x14ac:dyDescent="0.35"/>
    <row r="38" ht="14.25" customHeight="1" x14ac:dyDescent="0.35"/>
    <row r="39" ht="14.25" customHeight="1" x14ac:dyDescent="0.35"/>
    <row r="40" ht="14.25" customHeight="1" x14ac:dyDescent="0.35"/>
    <row r="41" ht="14.25" customHeight="1" x14ac:dyDescent="0.35"/>
    <row r="42" ht="14.25" customHeight="1" x14ac:dyDescent="0.35"/>
    <row r="43" ht="14.25" customHeight="1" x14ac:dyDescent="0.35"/>
    <row r="44" ht="14.25" customHeight="1" x14ac:dyDescent="0.35"/>
    <row r="45" ht="14.25" customHeight="1" x14ac:dyDescent="0.35"/>
    <row r="46" ht="14.25" customHeight="1" x14ac:dyDescent="0.35"/>
    <row r="47" ht="14.25" customHeight="1" x14ac:dyDescent="0.35"/>
    <row r="48" ht="14.25" customHeight="1" x14ac:dyDescent="0.35"/>
    <row r="49" ht="14.25" customHeight="1" x14ac:dyDescent="0.35"/>
    <row r="50" ht="14.25" customHeight="1" x14ac:dyDescent="0.35"/>
    <row r="51" ht="14.25" customHeight="1" x14ac:dyDescent="0.35"/>
    <row r="52" ht="14.25" customHeight="1" x14ac:dyDescent="0.35"/>
    <row r="53" ht="14.25" customHeight="1" x14ac:dyDescent="0.35"/>
    <row r="54" ht="14.25" customHeight="1" x14ac:dyDescent="0.35"/>
    <row r="55" ht="14.25" customHeight="1" x14ac:dyDescent="0.35"/>
    <row r="56" ht="14.25" customHeight="1" x14ac:dyDescent="0.35"/>
    <row r="57" ht="14.25" customHeight="1" x14ac:dyDescent="0.35"/>
    <row r="58" ht="14.25" customHeight="1" x14ac:dyDescent="0.35"/>
    <row r="59" ht="14.25" customHeight="1" x14ac:dyDescent="0.35"/>
    <row r="60" ht="14.25" customHeight="1" x14ac:dyDescent="0.35"/>
    <row r="61" ht="14.25" customHeight="1" x14ac:dyDescent="0.35"/>
    <row r="62" ht="14.25" customHeight="1" x14ac:dyDescent="0.35"/>
    <row r="63" ht="14.25" customHeight="1" x14ac:dyDescent="0.35"/>
    <row r="64" ht="14.25" customHeight="1" x14ac:dyDescent="0.35"/>
    <row r="65" ht="14.25" customHeight="1" x14ac:dyDescent="0.35"/>
    <row r="66" ht="14.25" customHeight="1" x14ac:dyDescent="0.35"/>
    <row r="67" ht="14.25" customHeight="1" x14ac:dyDescent="0.35"/>
    <row r="68" ht="14.25" customHeight="1" x14ac:dyDescent="0.35"/>
    <row r="69" ht="14.25" customHeight="1" x14ac:dyDescent="0.35"/>
    <row r="70" ht="14.25" customHeight="1" x14ac:dyDescent="0.35"/>
    <row r="71" ht="14.25" customHeight="1" x14ac:dyDescent="0.35"/>
    <row r="72" ht="14.25" customHeight="1" x14ac:dyDescent="0.35"/>
    <row r="73" ht="14.25" customHeight="1" x14ac:dyDescent="0.35"/>
    <row r="74" ht="14.25" customHeight="1" x14ac:dyDescent="0.35"/>
    <row r="75" ht="14.25" customHeight="1" x14ac:dyDescent="0.35"/>
    <row r="76" ht="14.25" customHeight="1" x14ac:dyDescent="0.35"/>
    <row r="77" ht="14.25" customHeight="1" x14ac:dyDescent="0.35"/>
    <row r="78" ht="14.25" customHeight="1" x14ac:dyDescent="0.35"/>
    <row r="79" ht="14.25" customHeight="1" x14ac:dyDescent="0.35"/>
    <row r="80" ht="14.25" customHeight="1" x14ac:dyDescent="0.35"/>
    <row r="81" ht="14.25" customHeight="1" x14ac:dyDescent="0.35"/>
    <row r="82" ht="14.25" customHeight="1" x14ac:dyDescent="0.35"/>
    <row r="83" ht="14.25" customHeight="1" x14ac:dyDescent="0.35"/>
    <row r="84" ht="14.25" customHeight="1" x14ac:dyDescent="0.35"/>
    <row r="85" ht="14.25" customHeight="1" x14ac:dyDescent="0.35"/>
    <row r="86" ht="14.25" customHeight="1" x14ac:dyDescent="0.35"/>
    <row r="87" ht="14.25" customHeight="1" x14ac:dyDescent="0.35"/>
    <row r="88" ht="14.25" customHeight="1" x14ac:dyDescent="0.35"/>
    <row r="89" ht="14.25" customHeight="1" x14ac:dyDescent="0.35"/>
    <row r="90" ht="14.25" customHeight="1" x14ac:dyDescent="0.35"/>
    <row r="91" ht="14.25" customHeight="1" x14ac:dyDescent="0.35"/>
    <row r="92" ht="14.25" customHeight="1" x14ac:dyDescent="0.35"/>
    <row r="93" ht="14.25" customHeight="1" x14ac:dyDescent="0.35"/>
    <row r="94" ht="14.25" customHeight="1" x14ac:dyDescent="0.35"/>
    <row r="95" ht="14.25" customHeight="1" x14ac:dyDescent="0.35"/>
    <row r="96" ht="14.25" customHeight="1" x14ac:dyDescent="0.35"/>
    <row r="97" ht="14.25" customHeight="1" x14ac:dyDescent="0.35"/>
    <row r="98" ht="14.25" customHeight="1" x14ac:dyDescent="0.35"/>
    <row r="99" ht="14.25" customHeight="1" x14ac:dyDescent="0.35"/>
    <row r="100" ht="14.25" customHeight="1" x14ac:dyDescent="0.35"/>
    <row r="101" ht="14.25" customHeight="1" x14ac:dyDescent="0.35"/>
    <row r="102" ht="14.25" customHeight="1" x14ac:dyDescent="0.35"/>
    <row r="103" ht="14.25" customHeight="1" x14ac:dyDescent="0.35"/>
    <row r="104" ht="14.25" customHeight="1" x14ac:dyDescent="0.35"/>
    <row r="105" ht="14.25" customHeight="1" x14ac:dyDescent="0.35"/>
    <row r="106" ht="14.25" customHeight="1" x14ac:dyDescent="0.35"/>
    <row r="107" ht="14.25" customHeight="1" x14ac:dyDescent="0.35"/>
    <row r="108" ht="14.25" customHeight="1" x14ac:dyDescent="0.35"/>
    <row r="109" ht="14.25" customHeight="1" x14ac:dyDescent="0.35"/>
    <row r="110" ht="14.25" customHeight="1" x14ac:dyDescent="0.35"/>
    <row r="111" ht="14.25" customHeight="1" x14ac:dyDescent="0.35"/>
    <row r="112" ht="14.25" customHeight="1" x14ac:dyDescent="0.35"/>
    <row r="113" ht="14.25" customHeight="1" x14ac:dyDescent="0.35"/>
    <row r="114" ht="14.25" customHeight="1" x14ac:dyDescent="0.35"/>
    <row r="115" ht="14.25" customHeight="1" x14ac:dyDescent="0.35"/>
    <row r="116" ht="14.25" customHeight="1" x14ac:dyDescent="0.35"/>
    <row r="117" ht="14.25" customHeight="1" x14ac:dyDescent="0.35"/>
    <row r="118" ht="14.25" customHeight="1" x14ac:dyDescent="0.35"/>
    <row r="119" ht="14.25" customHeight="1" x14ac:dyDescent="0.35"/>
    <row r="120" ht="14.25" customHeight="1" x14ac:dyDescent="0.35"/>
    <row r="121" ht="14.25" customHeight="1" x14ac:dyDescent="0.35"/>
    <row r="122" ht="14.25" customHeight="1" x14ac:dyDescent="0.35"/>
    <row r="123" ht="14.25" customHeight="1" x14ac:dyDescent="0.35"/>
    <row r="124" ht="14.25" customHeight="1" x14ac:dyDescent="0.35"/>
    <row r="125" ht="14.25" customHeight="1" x14ac:dyDescent="0.35"/>
    <row r="126" ht="14.25" customHeight="1" x14ac:dyDescent="0.35"/>
    <row r="127" ht="14.25" customHeight="1" x14ac:dyDescent="0.35"/>
    <row r="128" ht="14.25" customHeight="1" x14ac:dyDescent="0.35"/>
    <row r="129" ht="14.25" customHeight="1" x14ac:dyDescent="0.35"/>
    <row r="130" ht="14.25" customHeight="1" x14ac:dyDescent="0.35"/>
    <row r="131" ht="14.25" customHeight="1" x14ac:dyDescent="0.35"/>
    <row r="132" ht="14.25" customHeight="1" x14ac:dyDescent="0.35"/>
    <row r="133" ht="14.25" customHeight="1" x14ac:dyDescent="0.35"/>
    <row r="134" ht="14.25" customHeight="1" x14ac:dyDescent="0.35"/>
    <row r="135" ht="14.25" customHeight="1" x14ac:dyDescent="0.35"/>
    <row r="136" ht="14.25" customHeight="1" x14ac:dyDescent="0.35"/>
    <row r="137" ht="14.25" customHeight="1" x14ac:dyDescent="0.35"/>
    <row r="138" ht="14.25" customHeight="1" x14ac:dyDescent="0.35"/>
    <row r="139" ht="14.25" customHeight="1" x14ac:dyDescent="0.35"/>
    <row r="140" ht="14.25" customHeight="1" x14ac:dyDescent="0.35"/>
    <row r="141" ht="14.25" customHeight="1" x14ac:dyDescent="0.35"/>
    <row r="142" ht="14.25" customHeight="1" x14ac:dyDescent="0.35"/>
    <row r="143" ht="14.25" customHeight="1" x14ac:dyDescent="0.35"/>
    <row r="144" ht="14.25" customHeight="1" x14ac:dyDescent="0.35"/>
    <row r="145" ht="14.25" customHeight="1" x14ac:dyDescent="0.35"/>
    <row r="146" ht="14.25" customHeight="1" x14ac:dyDescent="0.35"/>
    <row r="147" ht="14.25" customHeight="1" x14ac:dyDescent="0.35"/>
    <row r="148" ht="14.25" customHeight="1" x14ac:dyDescent="0.35"/>
    <row r="149" ht="14.25" customHeight="1" x14ac:dyDescent="0.35"/>
    <row r="150" ht="14.25" customHeight="1" x14ac:dyDescent="0.35"/>
    <row r="151" ht="14.25" customHeight="1" x14ac:dyDescent="0.35"/>
    <row r="152" ht="14.25" customHeight="1" x14ac:dyDescent="0.35"/>
    <row r="153" ht="14.25" customHeight="1" x14ac:dyDescent="0.35"/>
    <row r="154" ht="14.25" customHeight="1" x14ac:dyDescent="0.35"/>
    <row r="155" ht="14.25" customHeight="1" x14ac:dyDescent="0.35"/>
    <row r="156" ht="14.25" customHeight="1" x14ac:dyDescent="0.35"/>
    <row r="157" ht="14.25" customHeight="1" x14ac:dyDescent="0.35"/>
    <row r="158" ht="14.25" customHeight="1" x14ac:dyDescent="0.35"/>
    <row r="159" ht="14.25" customHeight="1" x14ac:dyDescent="0.35"/>
    <row r="160" ht="14.25" customHeight="1" x14ac:dyDescent="0.35"/>
    <row r="161" ht="14.25" customHeight="1" x14ac:dyDescent="0.35"/>
    <row r="162" ht="14.25" customHeight="1" x14ac:dyDescent="0.35"/>
    <row r="163" ht="14.25" customHeight="1" x14ac:dyDescent="0.35"/>
    <row r="164" ht="14.25" customHeight="1" x14ac:dyDescent="0.35"/>
    <row r="165" ht="14.25" customHeight="1" x14ac:dyDescent="0.35"/>
    <row r="166" ht="14.25" customHeight="1" x14ac:dyDescent="0.35"/>
    <row r="167" ht="14.25" customHeight="1" x14ac:dyDescent="0.35"/>
    <row r="168" ht="14.25" customHeight="1" x14ac:dyDescent="0.35"/>
    <row r="169" ht="14.25" customHeight="1" x14ac:dyDescent="0.35"/>
    <row r="170" ht="14.25" customHeight="1" x14ac:dyDescent="0.35"/>
    <row r="171" ht="14.25" customHeight="1" x14ac:dyDescent="0.35"/>
    <row r="172" ht="14.25" customHeight="1" x14ac:dyDescent="0.35"/>
    <row r="173" ht="14.25" customHeight="1" x14ac:dyDescent="0.35"/>
    <row r="174" ht="14.25" customHeight="1" x14ac:dyDescent="0.35"/>
    <row r="175" ht="14.25" customHeight="1" x14ac:dyDescent="0.35"/>
    <row r="176" ht="14.25" customHeight="1" x14ac:dyDescent="0.35"/>
    <row r="177" ht="14.25" customHeight="1" x14ac:dyDescent="0.35"/>
    <row r="178" ht="14.25" customHeight="1" x14ac:dyDescent="0.35"/>
    <row r="179" ht="14.25" customHeight="1" x14ac:dyDescent="0.35"/>
    <row r="180" ht="14.25" customHeight="1" x14ac:dyDescent="0.35"/>
    <row r="181" ht="14.25" customHeight="1" x14ac:dyDescent="0.35"/>
    <row r="182" ht="14.25" customHeight="1" x14ac:dyDescent="0.35"/>
    <row r="183" ht="14.25" customHeight="1" x14ac:dyDescent="0.35"/>
    <row r="184" ht="14.25" customHeight="1" x14ac:dyDescent="0.35"/>
    <row r="185" ht="14.25" customHeight="1" x14ac:dyDescent="0.35"/>
    <row r="186" ht="14.25" customHeight="1" x14ac:dyDescent="0.35"/>
    <row r="187" ht="14.25" customHeight="1" x14ac:dyDescent="0.35"/>
    <row r="188" ht="14.25" customHeight="1" x14ac:dyDescent="0.35"/>
    <row r="189" ht="14.25" customHeight="1" x14ac:dyDescent="0.35"/>
    <row r="190" ht="14.25" customHeight="1" x14ac:dyDescent="0.35"/>
    <row r="191" ht="14.25" customHeight="1" x14ac:dyDescent="0.35"/>
    <row r="192" ht="14.25" customHeight="1" x14ac:dyDescent="0.35"/>
    <row r="193" ht="14.25" customHeight="1" x14ac:dyDescent="0.35"/>
    <row r="194" ht="14.25" customHeight="1" x14ac:dyDescent="0.35"/>
    <row r="195" ht="14.25" customHeight="1" x14ac:dyDescent="0.35"/>
    <row r="196" ht="14.25" customHeight="1" x14ac:dyDescent="0.35"/>
    <row r="197" ht="14.25" customHeight="1" x14ac:dyDescent="0.35"/>
    <row r="198" ht="14.25" customHeight="1" x14ac:dyDescent="0.35"/>
    <row r="199" ht="14.25" customHeight="1" x14ac:dyDescent="0.35"/>
    <row r="200" ht="14.25" customHeight="1" x14ac:dyDescent="0.35"/>
    <row r="201" ht="14.25" customHeight="1" x14ac:dyDescent="0.35"/>
    <row r="202" ht="14.25" customHeight="1" x14ac:dyDescent="0.35"/>
    <row r="203" ht="14.25" customHeight="1" x14ac:dyDescent="0.35"/>
    <row r="204" ht="14.25" customHeight="1" x14ac:dyDescent="0.35"/>
    <row r="205" ht="14.25" customHeight="1" x14ac:dyDescent="0.35"/>
    <row r="206" ht="14.25" customHeight="1" x14ac:dyDescent="0.35"/>
    <row r="207" ht="14.25" customHeight="1" x14ac:dyDescent="0.35"/>
    <row r="208" ht="14.25" customHeight="1" x14ac:dyDescent="0.35"/>
    <row r="209" ht="14.25" customHeight="1" x14ac:dyDescent="0.35"/>
    <row r="210" ht="14.25" customHeight="1" x14ac:dyDescent="0.35"/>
    <row r="211" ht="14.25" customHeight="1" x14ac:dyDescent="0.35"/>
    <row r="212" ht="14.25" customHeight="1" x14ac:dyDescent="0.35"/>
    <row r="213" ht="14.25" customHeight="1" x14ac:dyDescent="0.35"/>
    <row r="214" ht="14.25" customHeight="1" x14ac:dyDescent="0.35"/>
    <row r="215" ht="14.25" customHeight="1" x14ac:dyDescent="0.35"/>
    <row r="216" ht="14.25" customHeight="1" x14ac:dyDescent="0.35"/>
    <row r="217" ht="14.25" customHeight="1" x14ac:dyDescent="0.35"/>
    <row r="218" ht="14.25" customHeight="1" x14ac:dyDescent="0.35"/>
    <row r="219" ht="14.25" customHeight="1" x14ac:dyDescent="0.35"/>
    <row r="220" ht="14.25" customHeight="1" x14ac:dyDescent="0.35"/>
    <row r="221" ht="14.25" customHeight="1" x14ac:dyDescent="0.35"/>
    <row r="222" ht="14.25" customHeight="1" x14ac:dyDescent="0.35"/>
    <row r="223" ht="14.25" customHeight="1" x14ac:dyDescent="0.35"/>
    <row r="224" ht="14.25" customHeight="1" x14ac:dyDescent="0.35"/>
    <row r="225" ht="14.25" customHeight="1" x14ac:dyDescent="0.35"/>
    <row r="226" ht="14.25" customHeight="1" x14ac:dyDescent="0.35"/>
    <row r="227" ht="14.25" customHeight="1" x14ac:dyDescent="0.35"/>
    <row r="228" ht="14.25" customHeight="1" x14ac:dyDescent="0.35"/>
    <row r="229" ht="14.25" customHeight="1" x14ac:dyDescent="0.35"/>
    <row r="230" ht="14.25" customHeight="1" x14ac:dyDescent="0.35"/>
    <row r="231" ht="14.25" customHeight="1" x14ac:dyDescent="0.35"/>
    <row r="232" ht="14.25" customHeight="1" x14ac:dyDescent="0.35"/>
    <row r="233" ht="14.25" customHeight="1" x14ac:dyDescent="0.35"/>
    <row r="234" ht="14.25" customHeight="1" x14ac:dyDescent="0.35"/>
    <row r="235" ht="14.25" customHeight="1" x14ac:dyDescent="0.35"/>
    <row r="236" ht="14.25" customHeight="1" x14ac:dyDescent="0.35"/>
    <row r="237" ht="14.25" customHeight="1" x14ac:dyDescent="0.35"/>
    <row r="238" ht="14.25" customHeight="1" x14ac:dyDescent="0.35"/>
    <row r="239" ht="14.25" customHeight="1" x14ac:dyDescent="0.35"/>
    <row r="240" ht="14.25" customHeight="1" x14ac:dyDescent="0.35"/>
    <row r="241" ht="14.25" customHeight="1" x14ac:dyDescent="0.35"/>
    <row r="242" ht="14.25" customHeight="1" x14ac:dyDescent="0.35"/>
    <row r="243" ht="14.25" customHeight="1" x14ac:dyDescent="0.35"/>
    <row r="244" ht="14.25" customHeight="1" x14ac:dyDescent="0.35"/>
    <row r="245" ht="14.25" customHeight="1" x14ac:dyDescent="0.35"/>
    <row r="246" ht="14.25" customHeight="1" x14ac:dyDescent="0.35"/>
    <row r="247" ht="14.25" customHeight="1" x14ac:dyDescent="0.35"/>
    <row r="248" ht="14.25" customHeight="1" x14ac:dyDescent="0.35"/>
    <row r="249" ht="14.25" customHeight="1" x14ac:dyDescent="0.35"/>
    <row r="250" ht="14.25" customHeight="1" x14ac:dyDescent="0.35"/>
    <row r="251" ht="14.25" customHeight="1" x14ac:dyDescent="0.35"/>
    <row r="252" ht="14.25" customHeight="1" x14ac:dyDescent="0.35"/>
    <row r="253" ht="14.25" customHeight="1" x14ac:dyDescent="0.35"/>
    <row r="254" ht="14.25" customHeight="1" x14ac:dyDescent="0.35"/>
    <row r="255" ht="14.25" customHeight="1" x14ac:dyDescent="0.35"/>
    <row r="256" ht="14.25" customHeight="1" x14ac:dyDescent="0.35"/>
    <row r="257" ht="14.25" customHeight="1" x14ac:dyDescent="0.35"/>
    <row r="258" ht="14.25" customHeight="1" x14ac:dyDescent="0.35"/>
    <row r="259" ht="14.25" customHeight="1" x14ac:dyDescent="0.35"/>
    <row r="260" ht="14.25" customHeight="1" x14ac:dyDescent="0.35"/>
    <row r="261" ht="14.25" customHeight="1" x14ac:dyDescent="0.35"/>
    <row r="262" ht="14.25" customHeight="1" x14ac:dyDescent="0.35"/>
    <row r="263" ht="14.25" customHeight="1" x14ac:dyDescent="0.35"/>
    <row r="264" ht="14.25" customHeight="1" x14ac:dyDescent="0.35"/>
    <row r="265" ht="14.25" customHeight="1" x14ac:dyDescent="0.35"/>
    <row r="266" ht="14.25" customHeight="1" x14ac:dyDescent="0.35"/>
    <row r="267" ht="14.25" customHeight="1" x14ac:dyDescent="0.35"/>
    <row r="268" ht="14.25" customHeight="1" x14ac:dyDescent="0.35"/>
    <row r="269" ht="14.25" customHeight="1" x14ac:dyDescent="0.35"/>
    <row r="270" ht="14.25" customHeight="1" x14ac:dyDescent="0.35"/>
    <row r="271" ht="14.25" customHeight="1" x14ac:dyDescent="0.35"/>
    <row r="272" ht="14.25" customHeight="1" x14ac:dyDescent="0.35"/>
    <row r="273" ht="14.25" customHeight="1" x14ac:dyDescent="0.35"/>
    <row r="274" ht="14.25" customHeight="1" x14ac:dyDescent="0.35"/>
    <row r="275" ht="14.25" customHeight="1" x14ac:dyDescent="0.35"/>
    <row r="276" ht="14.25" customHeight="1" x14ac:dyDescent="0.35"/>
    <row r="277" ht="14.25" customHeight="1" x14ac:dyDescent="0.35"/>
    <row r="278" ht="14.25" customHeight="1" x14ac:dyDescent="0.35"/>
    <row r="279" ht="14.25" customHeight="1" x14ac:dyDescent="0.35"/>
    <row r="280" ht="14.25" customHeight="1" x14ac:dyDescent="0.35"/>
    <row r="281" ht="14.25" customHeight="1" x14ac:dyDescent="0.35"/>
    <row r="282" ht="14.25" customHeight="1" x14ac:dyDescent="0.35"/>
    <row r="283" ht="14.25" customHeight="1" x14ac:dyDescent="0.35"/>
    <row r="284" ht="14.25" customHeight="1" x14ac:dyDescent="0.35"/>
    <row r="285" ht="14.25" customHeight="1" x14ac:dyDescent="0.35"/>
    <row r="286" ht="14.25" customHeight="1" x14ac:dyDescent="0.35"/>
    <row r="287" ht="14.25" customHeight="1" x14ac:dyDescent="0.35"/>
    <row r="288" ht="14.25" customHeight="1" x14ac:dyDescent="0.35"/>
    <row r="289" ht="14.25" customHeight="1" x14ac:dyDescent="0.35"/>
    <row r="290" ht="14.25" customHeight="1" x14ac:dyDescent="0.35"/>
    <row r="291" ht="14.25" customHeight="1" x14ac:dyDescent="0.35"/>
    <row r="292" ht="14.25" customHeight="1" x14ac:dyDescent="0.35"/>
    <row r="293" ht="14.25" customHeight="1" x14ac:dyDescent="0.35"/>
    <row r="294" ht="14.25" customHeight="1" x14ac:dyDescent="0.35"/>
    <row r="295" ht="14.25" customHeight="1" x14ac:dyDescent="0.35"/>
    <row r="296" ht="14.25" customHeight="1" x14ac:dyDescent="0.35"/>
    <row r="297" ht="14.25" customHeight="1" x14ac:dyDescent="0.35"/>
    <row r="298" ht="14.25" customHeight="1" x14ac:dyDescent="0.35"/>
    <row r="299" ht="14.25" customHeight="1" x14ac:dyDescent="0.35"/>
    <row r="300" ht="14.25" customHeight="1" x14ac:dyDescent="0.35"/>
    <row r="301" ht="14.25" customHeight="1" x14ac:dyDescent="0.35"/>
    <row r="302" ht="14.25" customHeight="1" x14ac:dyDescent="0.35"/>
    <row r="303" ht="14.25" customHeight="1" x14ac:dyDescent="0.35"/>
    <row r="304" ht="14.25" customHeight="1" x14ac:dyDescent="0.35"/>
    <row r="305" ht="14.25" customHeight="1" x14ac:dyDescent="0.35"/>
    <row r="306" ht="14.25" customHeight="1" x14ac:dyDescent="0.35"/>
    <row r="307" ht="14.25" customHeight="1" x14ac:dyDescent="0.35"/>
    <row r="308" ht="14.25" customHeight="1" x14ac:dyDescent="0.35"/>
    <row r="309" ht="14.25" customHeight="1" x14ac:dyDescent="0.35"/>
    <row r="310" ht="14.25" customHeight="1" x14ac:dyDescent="0.35"/>
    <row r="311" ht="14.25" customHeight="1" x14ac:dyDescent="0.35"/>
    <row r="312" ht="14.25" customHeight="1" x14ac:dyDescent="0.35"/>
    <row r="313" ht="14.25" customHeight="1" x14ac:dyDescent="0.35"/>
    <row r="314" ht="14.25" customHeight="1" x14ac:dyDescent="0.35"/>
    <row r="315" ht="14.25" customHeight="1" x14ac:dyDescent="0.35"/>
    <row r="316" ht="14.25" customHeight="1" x14ac:dyDescent="0.35"/>
    <row r="317" ht="14.25" customHeight="1" x14ac:dyDescent="0.35"/>
    <row r="318" ht="14.25" customHeight="1" x14ac:dyDescent="0.35"/>
    <row r="319" ht="14.25" customHeight="1" x14ac:dyDescent="0.35"/>
    <row r="320" ht="14.25" customHeight="1" x14ac:dyDescent="0.35"/>
    <row r="321" ht="14.25" customHeight="1" x14ac:dyDescent="0.35"/>
    <row r="322" ht="14.25" customHeight="1" x14ac:dyDescent="0.35"/>
    <row r="323" ht="14.25" customHeight="1" x14ac:dyDescent="0.35"/>
    <row r="324" ht="14.25" customHeight="1" x14ac:dyDescent="0.35"/>
    <row r="325" ht="14.25" customHeight="1" x14ac:dyDescent="0.35"/>
    <row r="326" ht="14.25" customHeight="1" x14ac:dyDescent="0.35"/>
    <row r="327" ht="14.25" customHeight="1" x14ac:dyDescent="0.35"/>
    <row r="328" ht="14.25" customHeight="1" x14ac:dyDescent="0.35"/>
    <row r="329" ht="14.25" customHeight="1" x14ac:dyDescent="0.35"/>
    <row r="330" ht="14.25" customHeight="1" x14ac:dyDescent="0.35"/>
    <row r="331" ht="14.25" customHeight="1" x14ac:dyDescent="0.35"/>
    <row r="332" ht="14.25" customHeight="1" x14ac:dyDescent="0.35"/>
    <row r="333" ht="14.25" customHeight="1" x14ac:dyDescent="0.35"/>
    <row r="334" ht="14.25" customHeight="1" x14ac:dyDescent="0.35"/>
    <row r="335" ht="14.25" customHeight="1" x14ac:dyDescent="0.35"/>
    <row r="336" ht="14.25" customHeight="1" x14ac:dyDescent="0.35"/>
    <row r="337" ht="14.25" customHeight="1" x14ac:dyDescent="0.35"/>
    <row r="338" ht="14.25" customHeight="1" x14ac:dyDescent="0.35"/>
    <row r="339" ht="14.25" customHeight="1" x14ac:dyDescent="0.35"/>
    <row r="340" ht="14.25" customHeight="1" x14ac:dyDescent="0.35"/>
    <row r="341" ht="14.25" customHeight="1" x14ac:dyDescent="0.35"/>
    <row r="342" ht="14.25" customHeight="1" x14ac:dyDescent="0.35"/>
    <row r="343" ht="14.25" customHeight="1" x14ac:dyDescent="0.35"/>
    <row r="344" ht="14.25" customHeight="1" x14ac:dyDescent="0.35"/>
    <row r="345" ht="14.25" customHeight="1" x14ac:dyDescent="0.35"/>
    <row r="346" ht="14.25" customHeight="1" x14ac:dyDescent="0.35"/>
    <row r="347" ht="14.25" customHeight="1" x14ac:dyDescent="0.35"/>
    <row r="348" ht="14.25" customHeight="1" x14ac:dyDescent="0.35"/>
    <row r="349" ht="14.25" customHeight="1" x14ac:dyDescent="0.35"/>
    <row r="350" ht="14.25" customHeight="1" x14ac:dyDescent="0.35"/>
    <row r="351" ht="14.25" customHeight="1" x14ac:dyDescent="0.35"/>
    <row r="352" ht="14.25" customHeight="1" x14ac:dyDescent="0.35"/>
    <row r="353" ht="14.25" customHeight="1" x14ac:dyDescent="0.35"/>
    <row r="354" ht="14.25" customHeight="1" x14ac:dyDescent="0.35"/>
    <row r="355" ht="14.25" customHeight="1" x14ac:dyDescent="0.35"/>
    <row r="356" ht="14.25" customHeight="1" x14ac:dyDescent="0.35"/>
    <row r="357" ht="14.25" customHeight="1" x14ac:dyDescent="0.35"/>
    <row r="358" ht="14.25" customHeight="1" x14ac:dyDescent="0.35"/>
    <row r="359" ht="14.25" customHeight="1" x14ac:dyDescent="0.35"/>
    <row r="360" ht="14.25" customHeight="1" x14ac:dyDescent="0.35"/>
    <row r="361" ht="14.25" customHeight="1" x14ac:dyDescent="0.35"/>
    <row r="362" ht="14.25" customHeight="1" x14ac:dyDescent="0.35"/>
    <row r="363" ht="14.25" customHeight="1" x14ac:dyDescent="0.35"/>
    <row r="364" ht="14.25" customHeight="1" x14ac:dyDescent="0.35"/>
    <row r="365" ht="14.25" customHeight="1" x14ac:dyDescent="0.35"/>
    <row r="366" ht="14.25" customHeight="1" x14ac:dyDescent="0.35"/>
    <row r="367" ht="14.25" customHeight="1" x14ac:dyDescent="0.35"/>
    <row r="368" ht="14.25" customHeight="1" x14ac:dyDescent="0.35"/>
    <row r="369" ht="14.25" customHeight="1" x14ac:dyDescent="0.35"/>
    <row r="370" ht="14.25" customHeight="1" x14ac:dyDescent="0.35"/>
    <row r="371" ht="14.25" customHeight="1" x14ac:dyDescent="0.35"/>
    <row r="372" ht="14.25" customHeight="1" x14ac:dyDescent="0.35"/>
    <row r="373" ht="14.25" customHeight="1" x14ac:dyDescent="0.35"/>
    <row r="374" ht="14.25" customHeight="1" x14ac:dyDescent="0.35"/>
    <row r="375" ht="14.25" customHeight="1" x14ac:dyDescent="0.35"/>
    <row r="376" ht="14.25" customHeight="1" x14ac:dyDescent="0.35"/>
    <row r="377" ht="14.25" customHeight="1" x14ac:dyDescent="0.35"/>
    <row r="378" ht="14.25" customHeight="1" x14ac:dyDescent="0.35"/>
    <row r="379" ht="14.25" customHeight="1" x14ac:dyDescent="0.35"/>
    <row r="380" ht="14.25" customHeight="1" x14ac:dyDescent="0.35"/>
    <row r="381" ht="14.25" customHeight="1" x14ac:dyDescent="0.35"/>
    <row r="382" ht="14.25" customHeight="1" x14ac:dyDescent="0.35"/>
    <row r="383" ht="14.25" customHeight="1" x14ac:dyDescent="0.35"/>
    <row r="384" ht="14.25" customHeight="1" x14ac:dyDescent="0.35"/>
    <row r="385" ht="14.25" customHeight="1" x14ac:dyDescent="0.35"/>
    <row r="386" ht="14.25" customHeight="1" x14ac:dyDescent="0.35"/>
    <row r="387" ht="14.25" customHeight="1" x14ac:dyDescent="0.35"/>
    <row r="388" ht="14.25" customHeight="1" x14ac:dyDescent="0.35"/>
    <row r="389" ht="14.25" customHeight="1" x14ac:dyDescent="0.35"/>
    <row r="390" ht="14.25" customHeight="1" x14ac:dyDescent="0.35"/>
    <row r="391" ht="14.25" customHeight="1" x14ac:dyDescent="0.35"/>
    <row r="392" ht="14.25" customHeight="1" x14ac:dyDescent="0.35"/>
    <row r="393" ht="14.25" customHeight="1" x14ac:dyDescent="0.35"/>
    <row r="394" ht="14.25" customHeight="1" x14ac:dyDescent="0.35"/>
    <row r="395" ht="14.25" customHeight="1" x14ac:dyDescent="0.35"/>
    <row r="396" ht="14.25" customHeight="1" x14ac:dyDescent="0.35"/>
    <row r="397" ht="14.25" customHeight="1" x14ac:dyDescent="0.35"/>
    <row r="398" ht="14.25" customHeight="1" x14ac:dyDescent="0.35"/>
    <row r="399" ht="14.25" customHeight="1" x14ac:dyDescent="0.35"/>
    <row r="400" ht="14.25" customHeight="1" x14ac:dyDescent="0.35"/>
    <row r="401" ht="14.25" customHeight="1" x14ac:dyDescent="0.35"/>
    <row r="402" ht="14.25" customHeight="1" x14ac:dyDescent="0.35"/>
    <row r="403" ht="14.25" customHeight="1" x14ac:dyDescent="0.35"/>
    <row r="404" ht="14.25" customHeight="1" x14ac:dyDescent="0.35"/>
    <row r="405" ht="14.25" customHeight="1" x14ac:dyDescent="0.35"/>
    <row r="406" ht="14.25" customHeight="1" x14ac:dyDescent="0.35"/>
    <row r="407" ht="14.25" customHeight="1" x14ac:dyDescent="0.35"/>
    <row r="408" ht="14.25" customHeight="1" x14ac:dyDescent="0.35"/>
    <row r="409" ht="14.25" customHeight="1" x14ac:dyDescent="0.35"/>
    <row r="410" ht="14.25" customHeight="1" x14ac:dyDescent="0.35"/>
    <row r="411" ht="14.25" customHeight="1" x14ac:dyDescent="0.35"/>
    <row r="412" ht="14.25" customHeight="1" x14ac:dyDescent="0.35"/>
    <row r="413" ht="14.25" customHeight="1" x14ac:dyDescent="0.35"/>
    <row r="414" ht="14.25" customHeight="1" x14ac:dyDescent="0.35"/>
    <row r="415" ht="14.25" customHeight="1" x14ac:dyDescent="0.35"/>
    <row r="416" ht="14.25" customHeight="1" x14ac:dyDescent="0.35"/>
    <row r="417" ht="14.25" customHeight="1" x14ac:dyDescent="0.35"/>
    <row r="418" ht="14.25" customHeight="1" x14ac:dyDescent="0.35"/>
    <row r="419" ht="14.25" customHeight="1" x14ac:dyDescent="0.35"/>
    <row r="420" ht="14.25" customHeight="1" x14ac:dyDescent="0.35"/>
    <row r="421" ht="14.25" customHeight="1" x14ac:dyDescent="0.35"/>
    <row r="422" ht="14.25" customHeight="1" x14ac:dyDescent="0.35"/>
    <row r="423" ht="14.25" customHeight="1" x14ac:dyDescent="0.35"/>
    <row r="424" ht="14.25" customHeight="1" x14ac:dyDescent="0.35"/>
    <row r="425" ht="14.25" customHeight="1" x14ac:dyDescent="0.35"/>
    <row r="426" ht="14.25" customHeight="1" x14ac:dyDescent="0.35"/>
    <row r="427" ht="14.25" customHeight="1" x14ac:dyDescent="0.35"/>
    <row r="428" ht="14.25" customHeight="1" x14ac:dyDescent="0.35"/>
    <row r="429" ht="14.25" customHeight="1" x14ac:dyDescent="0.35"/>
    <row r="430" ht="14.25" customHeight="1" x14ac:dyDescent="0.35"/>
    <row r="431" ht="14.25" customHeight="1" x14ac:dyDescent="0.35"/>
    <row r="432" ht="14.25" customHeight="1" x14ac:dyDescent="0.35"/>
    <row r="433" ht="14.25" customHeight="1" x14ac:dyDescent="0.35"/>
    <row r="434" ht="14.25" customHeight="1" x14ac:dyDescent="0.35"/>
    <row r="435" ht="14.25" customHeight="1" x14ac:dyDescent="0.35"/>
    <row r="436" ht="14.25" customHeight="1" x14ac:dyDescent="0.35"/>
    <row r="437" ht="14.25" customHeight="1" x14ac:dyDescent="0.35"/>
    <row r="438" ht="14.25" customHeight="1" x14ac:dyDescent="0.35"/>
    <row r="439" ht="14.25" customHeight="1" x14ac:dyDescent="0.35"/>
    <row r="440" ht="14.25" customHeight="1" x14ac:dyDescent="0.35"/>
    <row r="441" ht="14.25" customHeight="1" x14ac:dyDescent="0.35"/>
    <row r="442" ht="14.25" customHeight="1" x14ac:dyDescent="0.35"/>
    <row r="443" ht="14.25" customHeight="1" x14ac:dyDescent="0.35"/>
    <row r="444" ht="14.25" customHeight="1" x14ac:dyDescent="0.35"/>
    <row r="445" ht="14.25" customHeight="1" x14ac:dyDescent="0.35"/>
    <row r="446" ht="14.25" customHeight="1" x14ac:dyDescent="0.35"/>
    <row r="447" ht="14.25" customHeight="1" x14ac:dyDescent="0.35"/>
    <row r="448" ht="14.25" customHeight="1" x14ac:dyDescent="0.35"/>
    <row r="449" ht="14.25" customHeight="1" x14ac:dyDescent="0.35"/>
    <row r="450" ht="14.25" customHeight="1" x14ac:dyDescent="0.35"/>
    <row r="451" ht="14.25" customHeight="1" x14ac:dyDescent="0.35"/>
    <row r="452" ht="14.25" customHeight="1" x14ac:dyDescent="0.35"/>
    <row r="453" ht="14.25" customHeight="1" x14ac:dyDescent="0.35"/>
    <row r="454" ht="14.25" customHeight="1" x14ac:dyDescent="0.35"/>
    <row r="455" ht="14.25" customHeight="1" x14ac:dyDescent="0.35"/>
    <row r="456" ht="14.25" customHeight="1" x14ac:dyDescent="0.35"/>
    <row r="457" ht="14.25" customHeight="1" x14ac:dyDescent="0.35"/>
    <row r="458" ht="14.25" customHeight="1" x14ac:dyDescent="0.35"/>
    <row r="459" ht="14.25" customHeight="1" x14ac:dyDescent="0.35"/>
    <row r="460" ht="14.25" customHeight="1" x14ac:dyDescent="0.35"/>
    <row r="461" ht="14.25" customHeight="1" x14ac:dyDescent="0.35"/>
    <row r="462" ht="14.25" customHeight="1" x14ac:dyDescent="0.35"/>
    <row r="463" ht="14.25" customHeight="1" x14ac:dyDescent="0.35"/>
    <row r="464" ht="14.25" customHeight="1" x14ac:dyDescent="0.35"/>
    <row r="465" ht="14.25" customHeight="1" x14ac:dyDescent="0.35"/>
    <row r="466" ht="14.25" customHeight="1" x14ac:dyDescent="0.35"/>
    <row r="467" ht="14.25" customHeight="1" x14ac:dyDescent="0.35"/>
    <row r="468" ht="14.25" customHeight="1" x14ac:dyDescent="0.35"/>
    <row r="469" ht="14.25" customHeight="1" x14ac:dyDescent="0.35"/>
    <row r="470" ht="14.25" customHeight="1" x14ac:dyDescent="0.35"/>
    <row r="471" ht="14.25" customHeight="1" x14ac:dyDescent="0.35"/>
    <row r="472" ht="14.25" customHeight="1" x14ac:dyDescent="0.35"/>
    <row r="473" ht="14.25" customHeight="1" x14ac:dyDescent="0.35"/>
    <row r="474" ht="14.25" customHeight="1" x14ac:dyDescent="0.35"/>
    <row r="475" ht="14.25" customHeight="1" x14ac:dyDescent="0.35"/>
    <row r="476" ht="14.25" customHeight="1" x14ac:dyDescent="0.35"/>
    <row r="477" ht="14.25" customHeight="1" x14ac:dyDescent="0.35"/>
    <row r="478" ht="14.25" customHeight="1" x14ac:dyDescent="0.35"/>
    <row r="479" ht="14.25" customHeight="1" x14ac:dyDescent="0.35"/>
    <row r="480" ht="14.25" customHeight="1" x14ac:dyDescent="0.35"/>
    <row r="481" ht="14.25" customHeight="1" x14ac:dyDescent="0.35"/>
    <row r="482" ht="14.25" customHeight="1" x14ac:dyDescent="0.35"/>
    <row r="483" ht="14.25" customHeight="1" x14ac:dyDescent="0.35"/>
    <row r="484" ht="14.25" customHeight="1" x14ac:dyDescent="0.35"/>
    <row r="485" ht="14.25" customHeight="1" x14ac:dyDescent="0.35"/>
    <row r="486" ht="14.25" customHeight="1" x14ac:dyDescent="0.35"/>
    <row r="487" ht="14.25" customHeight="1" x14ac:dyDescent="0.35"/>
    <row r="488" ht="14.25" customHeight="1" x14ac:dyDescent="0.35"/>
    <row r="489" ht="14.25" customHeight="1" x14ac:dyDescent="0.35"/>
    <row r="490" ht="14.25" customHeight="1" x14ac:dyDescent="0.35"/>
    <row r="491" ht="14.25" customHeight="1" x14ac:dyDescent="0.35"/>
    <row r="492" ht="14.25" customHeight="1" x14ac:dyDescent="0.35"/>
    <row r="493" ht="14.25" customHeight="1" x14ac:dyDescent="0.35"/>
    <row r="494" ht="14.25" customHeight="1" x14ac:dyDescent="0.35"/>
    <row r="495" ht="14.25" customHeight="1" x14ac:dyDescent="0.35"/>
    <row r="496" ht="14.25" customHeight="1" x14ac:dyDescent="0.35"/>
    <row r="497" ht="14.25" customHeight="1" x14ac:dyDescent="0.35"/>
    <row r="498" ht="14.25" customHeight="1" x14ac:dyDescent="0.35"/>
    <row r="499" ht="14.25" customHeight="1" x14ac:dyDescent="0.35"/>
    <row r="500" ht="14.25" customHeight="1" x14ac:dyDescent="0.35"/>
    <row r="501" ht="14.25" customHeight="1" x14ac:dyDescent="0.35"/>
    <row r="502" ht="14.25" customHeight="1" x14ac:dyDescent="0.35"/>
    <row r="503" ht="14.25" customHeight="1" x14ac:dyDescent="0.35"/>
    <row r="504" ht="14.25" customHeight="1" x14ac:dyDescent="0.35"/>
    <row r="505" ht="14.25" customHeight="1" x14ac:dyDescent="0.35"/>
    <row r="506" ht="14.25" customHeight="1" x14ac:dyDescent="0.35"/>
    <row r="507" ht="14.25" customHeight="1" x14ac:dyDescent="0.35"/>
    <row r="508" ht="14.25" customHeight="1" x14ac:dyDescent="0.35"/>
    <row r="509" ht="14.25" customHeight="1" x14ac:dyDescent="0.35"/>
    <row r="510" ht="14.25" customHeight="1" x14ac:dyDescent="0.35"/>
    <row r="511" ht="14.25" customHeight="1" x14ac:dyDescent="0.35"/>
    <row r="512" ht="14.25" customHeight="1" x14ac:dyDescent="0.35"/>
    <row r="513" ht="14.25" customHeight="1" x14ac:dyDescent="0.35"/>
    <row r="514" ht="14.25" customHeight="1" x14ac:dyDescent="0.35"/>
    <row r="515" ht="14.25" customHeight="1" x14ac:dyDescent="0.35"/>
    <row r="516" ht="14.25" customHeight="1" x14ac:dyDescent="0.35"/>
    <row r="517" ht="14.25" customHeight="1" x14ac:dyDescent="0.35"/>
    <row r="518" ht="14.25" customHeight="1" x14ac:dyDescent="0.35"/>
    <row r="519" ht="14.25" customHeight="1" x14ac:dyDescent="0.35"/>
    <row r="520" ht="14.25" customHeight="1" x14ac:dyDescent="0.35"/>
    <row r="521" ht="14.25" customHeight="1" x14ac:dyDescent="0.35"/>
    <row r="522" ht="14.25" customHeight="1" x14ac:dyDescent="0.35"/>
    <row r="523" ht="14.25" customHeight="1" x14ac:dyDescent="0.35"/>
    <row r="524" ht="14.25" customHeight="1" x14ac:dyDescent="0.35"/>
    <row r="525" ht="14.25" customHeight="1" x14ac:dyDescent="0.35"/>
    <row r="526" ht="14.25" customHeight="1" x14ac:dyDescent="0.35"/>
    <row r="527" ht="14.25" customHeight="1" x14ac:dyDescent="0.35"/>
    <row r="528" ht="14.25" customHeight="1" x14ac:dyDescent="0.35"/>
    <row r="529" ht="14.25" customHeight="1" x14ac:dyDescent="0.35"/>
    <row r="530" ht="14.25" customHeight="1" x14ac:dyDescent="0.35"/>
    <row r="531" ht="14.25" customHeight="1" x14ac:dyDescent="0.35"/>
    <row r="532" ht="14.25" customHeight="1" x14ac:dyDescent="0.35"/>
    <row r="533" ht="14.25" customHeight="1" x14ac:dyDescent="0.35"/>
    <row r="534" ht="14.25" customHeight="1" x14ac:dyDescent="0.35"/>
    <row r="535" ht="14.25" customHeight="1" x14ac:dyDescent="0.35"/>
    <row r="536" ht="14.25" customHeight="1" x14ac:dyDescent="0.35"/>
    <row r="537" ht="14.25" customHeight="1" x14ac:dyDescent="0.35"/>
    <row r="538" ht="14.25" customHeight="1" x14ac:dyDescent="0.35"/>
    <row r="539" ht="14.25" customHeight="1" x14ac:dyDescent="0.35"/>
    <row r="540" ht="14.25" customHeight="1" x14ac:dyDescent="0.35"/>
    <row r="541" ht="14.25" customHeight="1" x14ac:dyDescent="0.35"/>
    <row r="542" ht="14.25" customHeight="1" x14ac:dyDescent="0.35"/>
    <row r="543" ht="14.25" customHeight="1" x14ac:dyDescent="0.35"/>
    <row r="544" ht="14.25" customHeight="1" x14ac:dyDescent="0.35"/>
    <row r="545" ht="14.25" customHeight="1" x14ac:dyDescent="0.35"/>
    <row r="546" ht="14.25" customHeight="1" x14ac:dyDescent="0.35"/>
    <row r="547" ht="14.25" customHeight="1" x14ac:dyDescent="0.35"/>
    <row r="548" ht="14.25" customHeight="1" x14ac:dyDescent="0.35"/>
    <row r="549" ht="14.25" customHeight="1" x14ac:dyDescent="0.35"/>
    <row r="550" ht="14.25" customHeight="1" x14ac:dyDescent="0.35"/>
    <row r="551" ht="14.25" customHeight="1" x14ac:dyDescent="0.35"/>
    <row r="552" ht="14.25" customHeight="1" x14ac:dyDescent="0.35"/>
    <row r="553" ht="14.25" customHeight="1" x14ac:dyDescent="0.35"/>
    <row r="554" ht="14.25" customHeight="1" x14ac:dyDescent="0.35"/>
    <row r="555" ht="14.25" customHeight="1" x14ac:dyDescent="0.35"/>
    <row r="556" ht="14.25" customHeight="1" x14ac:dyDescent="0.35"/>
    <row r="557" ht="14.25" customHeight="1" x14ac:dyDescent="0.35"/>
    <row r="558" ht="14.25" customHeight="1" x14ac:dyDescent="0.35"/>
    <row r="559" ht="14.25" customHeight="1" x14ac:dyDescent="0.35"/>
    <row r="560" ht="14.25" customHeight="1" x14ac:dyDescent="0.35"/>
    <row r="561" ht="14.25" customHeight="1" x14ac:dyDescent="0.35"/>
    <row r="562" ht="14.25" customHeight="1" x14ac:dyDescent="0.35"/>
    <row r="563" ht="14.25" customHeight="1" x14ac:dyDescent="0.35"/>
    <row r="564" ht="14.25" customHeight="1" x14ac:dyDescent="0.35"/>
    <row r="565" ht="14.25" customHeight="1" x14ac:dyDescent="0.35"/>
    <row r="566" ht="14.25" customHeight="1" x14ac:dyDescent="0.35"/>
    <row r="567" ht="14.25" customHeight="1" x14ac:dyDescent="0.35"/>
    <row r="568" ht="14.25" customHeight="1" x14ac:dyDescent="0.35"/>
    <row r="569" ht="14.25" customHeight="1" x14ac:dyDescent="0.35"/>
    <row r="570" ht="14.25" customHeight="1" x14ac:dyDescent="0.35"/>
    <row r="571" ht="14.25" customHeight="1" x14ac:dyDescent="0.35"/>
    <row r="572" ht="14.25" customHeight="1" x14ac:dyDescent="0.35"/>
    <row r="573" ht="14.25" customHeight="1" x14ac:dyDescent="0.35"/>
    <row r="574" ht="14.25" customHeight="1" x14ac:dyDescent="0.35"/>
    <row r="575" ht="14.25" customHeight="1" x14ac:dyDescent="0.35"/>
    <row r="576" ht="14.25" customHeight="1" x14ac:dyDescent="0.35"/>
    <row r="577" ht="14.25" customHeight="1" x14ac:dyDescent="0.35"/>
    <row r="578" ht="14.25" customHeight="1" x14ac:dyDescent="0.35"/>
    <row r="579" ht="14.25" customHeight="1" x14ac:dyDescent="0.35"/>
    <row r="580" ht="14.25" customHeight="1" x14ac:dyDescent="0.35"/>
    <row r="581" ht="14.25" customHeight="1" x14ac:dyDescent="0.35"/>
    <row r="582" ht="14.25" customHeight="1" x14ac:dyDescent="0.35"/>
    <row r="583" ht="14.25" customHeight="1" x14ac:dyDescent="0.35"/>
    <row r="584" ht="14.25" customHeight="1" x14ac:dyDescent="0.35"/>
    <row r="585" ht="14.25" customHeight="1" x14ac:dyDescent="0.35"/>
    <row r="586" ht="14.25" customHeight="1" x14ac:dyDescent="0.35"/>
    <row r="587" ht="14.25" customHeight="1" x14ac:dyDescent="0.35"/>
    <row r="588" ht="14.25" customHeight="1" x14ac:dyDescent="0.35"/>
    <row r="589" ht="14.25" customHeight="1" x14ac:dyDescent="0.35"/>
    <row r="590" ht="14.25" customHeight="1" x14ac:dyDescent="0.35"/>
    <row r="591" ht="14.25" customHeight="1" x14ac:dyDescent="0.35"/>
    <row r="592" ht="14.25" customHeight="1" x14ac:dyDescent="0.35"/>
    <row r="593" ht="14.25" customHeight="1" x14ac:dyDescent="0.35"/>
    <row r="594" ht="14.25" customHeight="1" x14ac:dyDescent="0.35"/>
    <row r="595" ht="14.25" customHeight="1" x14ac:dyDescent="0.35"/>
    <row r="596" ht="14.25" customHeight="1" x14ac:dyDescent="0.35"/>
    <row r="597" ht="14.25" customHeight="1" x14ac:dyDescent="0.35"/>
    <row r="598" ht="14.25" customHeight="1" x14ac:dyDescent="0.35"/>
    <row r="599" ht="14.25" customHeight="1" x14ac:dyDescent="0.35"/>
    <row r="600" ht="14.25" customHeight="1" x14ac:dyDescent="0.35"/>
    <row r="601" ht="14.25" customHeight="1" x14ac:dyDescent="0.35"/>
    <row r="602" ht="14.25" customHeight="1" x14ac:dyDescent="0.35"/>
    <row r="603" ht="14.25" customHeight="1" x14ac:dyDescent="0.35"/>
    <row r="604" ht="14.25" customHeight="1" x14ac:dyDescent="0.35"/>
    <row r="605" ht="14.25" customHeight="1" x14ac:dyDescent="0.35"/>
    <row r="606" ht="14.25" customHeight="1" x14ac:dyDescent="0.35"/>
    <row r="607" ht="14.25" customHeight="1" x14ac:dyDescent="0.35"/>
    <row r="608" ht="14.25" customHeight="1" x14ac:dyDescent="0.35"/>
    <row r="609" ht="14.25" customHeight="1" x14ac:dyDescent="0.35"/>
    <row r="610" ht="14.25" customHeight="1" x14ac:dyDescent="0.35"/>
    <row r="611" ht="14.25" customHeight="1" x14ac:dyDescent="0.35"/>
    <row r="612" ht="14.25" customHeight="1" x14ac:dyDescent="0.35"/>
    <row r="613" ht="14.25" customHeight="1" x14ac:dyDescent="0.35"/>
    <row r="614" ht="14.25" customHeight="1" x14ac:dyDescent="0.35"/>
    <row r="615" ht="14.25" customHeight="1" x14ac:dyDescent="0.35"/>
    <row r="616" ht="14.25" customHeight="1" x14ac:dyDescent="0.35"/>
    <row r="617" ht="14.25" customHeight="1" x14ac:dyDescent="0.35"/>
    <row r="618" ht="14.25" customHeight="1" x14ac:dyDescent="0.35"/>
    <row r="619" ht="14.25" customHeight="1" x14ac:dyDescent="0.35"/>
    <row r="620" ht="14.25" customHeight="1" x14ac:dyDescent="0.35"/>
    <row r="621" ht="14.25" customHeight="1" x14ac:dyDescent="0.35"/>
    <row r="622" ht="14.25" customHeight="1" x14ac:dyDescent="0.35"/>
    <row r="623" ht="14.25" customHeight="1" x14ac:dyDescent="0.35"/>
    <row r="624" ht="14.25" customHeight="1" x14ac:dyDescent="0.35"/>
    <row r="625" ht="14.25" customHeight="1" x14ac:dyDescent="0.35"/>
    <row r="626" ht="14.25" customHeight="1" x14ac:dyDescent="0.35"/>
    <row r="627" ht="14.25" customHeight="1" x14ac:dyDescent="0.35"/>
    <row r="628" ht="14.25" customHeight="1" x14ac:dyDescent="0.35"/>
    <row r="629" ht="14.25" customHeight="1" x14ac:dyDescent="0.35"/>
    <row r="630" ht="14.25" customHeight="1" x14ac:dyDescent="0.35"/>
    <row r="631" ht="14.25" customHeight="1" x14ac:dyDescent="0.35"/>
    <row r="632" ht="14.25" customHeight="1" x14ac:dyDescent="0.35"/>
    <row r="633" ht="14.25" customHeight="1" x14ac:dyDescent="0.35"/>
    <row r="634" ht="14.25" customHeight="1" x14ac:dyDescent="0.35"/>
    <row r="635" ht="14.25" customHeight="1" x14ac:dyDescent="0.35"/>
    <row r="636" ht="14.25" customHeight="1" x14ac:dyDescent="0.35"/>
    <row r="637" ht="14.25" customHeight="1" x14ac:dyDescent="0.35"/>
    <row r="638" ht="14.25" customHeight="1" x14ac:dyDescent="0.35"/>
    <row r="639" ht="14.25" customHeight="1" x14ac:dyDescent="0.35"/>
    <row r="640" ht="14.25" customHeight="1" x14ac:dyDescent="0.35"/>
    <row r="641" ht="14.25" customHeight="1" x14ac:dyDescent="0.35"/>
    <row r="642" ht="14.25" customHeight="1" x14ac:dyDescent="0.35"/>
    <row r="643" ht="14.25" customHeight="1" x14ac:dyDescent="0.35"/>
    <row r="644" ht="14.25" customHeight="1" x14ac:dyDescent="0.35"/>
    <row r="645" ht="14.25" customHeight="1" x14ac:dyDescent="0.35"/>
    <row r="646" ht="14.25" customHeight="1" x14ac:dyDescent="0.35"/>
    <row r="647" ht="14.25" customHeight="1" x14ac:dyDescent="0.35"/>
    <row r="648" ht="14.25" customHeight="1" x14ac:dyDescent="0.35"/>
    <row r="649" ht="14.25" customHeight="1" x14ac:dyDescent="0.35"/>
    <row r="650" ht="14.25" customHeight="1" x14ac:dyDescent="0.35"/>
    <row r="651" ht="14.25" customHeight="1" x14ac:dyDescent="0.35"/>
    <row r="652" ht="14.25" customHeight="1" x14ac:dyDescent="0.35"/>
    <row r="653" ht="14.25" customHeight="1" x14ac:dyDescent="0.35"/>
    <row r="654" ht="14.25" customHeight="1" x14ac:dyDescent="0.35"/>
    <row r="655" ht="14.25" customHeight="1" x14ac:dyDescent="0.35"/>
    <row r="656" ht="14.25" customHeight="1" x14ac:dyDescent="0.35"/>
    <row r="657" ht="14.25" customHeight="1" x14ac:dyDescent="0.35"/>
    <row r="658" ht="14.25" customHeight="1" x14ac:dyDescent="0.35"/>
    <row r="659" ht="14.25" customHeight="1" x14ac:dyDescent="0.35"/>
    <row r="660" ht="14.25" customHeight="1" x14ac:dyDescent="0.35"/>
    <row r="661" ht="14.25" customHeight="1" x14ac:dyDescent="0.35"/>
    <row r="662" ht="14.25" customHeight="1" x14ac:dyDescent="0.35"/>
    <row r="663" ht="14.25" customHeight="1" x14ac:dyDescent="0.35"/>
    <row r="664" ht="14.25" customHeight="1" x14ac:dyDescent="0.35"/>
    <row r="665" ht="14.25" customHeight="1" x14ac:dyDescent="0.35"/>
    <row r="666" ht="14.25" customHeight="1" x14ac:dyDescent="0.35"/>
    <row r="667" ht="14.25" customHeight="1" x14ac:dyDescent="0.35"/>
    <row r="668" ht="14.25" customHeight="1" x14ac:dyDescent="0.35"/>
    <row r="669" ht="14.25" customHeight="1" x14ac:dyDescent="0.35"/>
    <row r="670" ht="14.25" customHeight="1" x14ac:dyDescent="0.35"/>
    <row r="671" ht="14.25" customHeight="1" x14ac:dyDescent="0.35"/>
    <row r="672" ht="14.25" customHeight="1" x14ac:dyDescent="0.35"/>
    <row r="673" ht="14.25" customHeight="1" x14ac:dyDescent="0.35"/>
    <row r="674" ht="14.25" customHeight="1" x14ac:dyDescent="0.35"/>
    <row r="675" ht="14.25" customHeight="1" x14ac:dyDescent="0.35"/>
    <row r="676" ht="14.25" customHeight="1" x14ac:dyDescent="0.35"/>
    <row r="677" ht="14.25" customHeight="1" x14ac:dyDescent="0.35"/>
    <row r="678" ht="14.25" customHeight="1" x14ac:dyDescent="0.35"/>
    <row r="679" ht="14.25" customHeight="1" x14ac:dyDescent="0.35"/>
    <row r="680" ht="14.25" customHeight="1" x14ac:dyDescent="0.35"/>
    <row r="681" ht="14.25" customHeight="1" x14ac:dyDescent="0.35"/>
    <row r="682" ht="14.25" customHeight="1" x14ac:dyDescent="0.35"/>
    <row r="683" ht="14.25" customHeight="1" x14ac:dyDescent="0.35"/>
    <row r="684" ht="14.25" customHeight="1" x14ac:dyDescent="0.35"/>
    <row r="685" ht="14.25" customHeight="1" x14ac:dyDescent="0.35"/>
    <row r="686" ht="14.25" customHeight="1" x14ac:dyDescent="0.35"/>
    <row r="687" ht="14.25" customHeight="1" x14ac:dyDescent="0.35"/>
    <row r="688" ht="14.25" customHeight="1" x14ac:dyDescent="0.35"/>
    <row r="689" ht="14.25" customHeight="1" x14ac:dyDescent="0.35"/>
    <row r="690" ht="14.25" customHeight="1" x14ac:dyDescent="0.35"/>
    <row r="691" ht="14.25" customHeight="1" x14ac:dyDescent="0.35"/>
    <row r="692" ht="14.25" customHeight="1" x14ac:dyDescent="0.35"/>
    <row r="693" ht="14.25" customHeight="1" x14ac:dyDescent="0.35"/>
    <row r="694" ht="14.25" customHeight="1" x14ac:dyDescent="0.35"/>
    <row r="695" ht="14.25" customHeight="1" x14ac:dyDescent="0.35"/>
    <row r="696" ht="14.25" customHeight="1" x14ac:dyDescent="0.35"/>
    <row r="697" ht="14.25" customHeight="1" x14ac:dyDescent="0.35"/>
    <row r="698" ht="14.25" customHeight="1" x14ac:dyDescent="0.35"/>
    <row r="699" ht="14.25" customHeight="1" x14ac:dyDescent="0.35"/>
    <row r="700" ht="14.25" customHeight="1" x14ac:dyDescent="0.35"/>
    <row r="701" ht="14.25" customHeight="1" x14ac:dyDescent="0.35"/>
    <row r="702" ht="14.25" customHeight="1" x14ac:dyDescent="0.35"/>
    <row r="703" ht="14.25" customHeight="1" x14ac:dyDescent="0.35"/>
    <row r="704" ht="14.25" customHeight="1" x14ac:dyDescent="0.35"/>
    <row r="705" ht="14.25" customHeight="1" x14ac:dyDescent="0.35"/>
    <row r="706" ht="14.25" customHeight="1" x14ac:dyDescent="0.35"/>
    <row r="707" ht="14.25" customHeight="1" x14ac:dyDescent="0.35"/>
    <row r="708" ht="14.25" customHeight="1" x14ac:dyDescent="0.35"/>
    <row r="709" ht="14.25" customHeight="1" x14ac:dyDescent="0.35"/>
    <row r="710" ht="14.25" customHeight="1" x14ac:dyDescent="0.35"/>
    <row r="711" ht="14.25" customHeight="1" x14ac:dyDescent="0.35"/>
    <row r="712" ht="14.25" customHeight="1" x14ac:dyDescent="0.35"/>
    <row r="713" ht="14.25" customHeight="1" x14ac:dyDescent="0.35"/>
    <row r="714" ht="14.25" customHeight="1" x14ac:dyDescent="0.35"/>
    <row r="715" ht="14.25" customHeight="1" x14ac:dyDescent="0.35"/>
    <row r="716" ht="14.25" customHeight="1" x14ac:dyDescent="0.35"/>
    <row r="717" ht="14.25" customHeight="1" x14ac:dyDescent="0.35"/>
    <row r="718" ht="14.25" customHeight="1" x14ac:dyDescent="0.35"/>
    <row r="719" ht="14.25" customHeight="1" x14ac:dyDescent="0.35"/>
    <row r="720" ht="14.25" customHeight="1" x14ac:dyDescent="0.35"/>
    <row r="721" ht="14.25" customHeight="1" x14ac:dyDescent="0.35"/>
    <row r="722" ht="14.25" customHeight="1" x14ac:dyDescent="0.35"/>
    <row r="723" ht="14.25" customHeight="1" x14ac:dyDescent="0.35"/>
    <row r="724" ht="14.25" customHeight="1" x14ac:dyDescent="0.35"/>
    <row r="725" ht="14.25" customHeight="1" x14ac:dyDescent="0.35"/>
    <row r="726" ht="14.25" customHeight="1" x14ac:dyDescent="0.35"/>
    <row r="727" ht="14.25" customHeight="1" x14ac:dyDescent="0.35"/>
    <row r="728" ht="14.25" customHeight="1" x14ac:dyDescent="0.35"/>
    <row r="729" ht="14.25" customHeight="1" x14ac:dyDescent="0.35"/>
    <row r="730" ht="14.25" customHeight="1" x14ac:dyDescent="0.35"/>
    <row r="731" ht="14.25" customHeight="1" x14ac:dyDescent="0.35"/>
    <row r="732" ht="14.25" customHeight="1" x14ac:dyDescent="0.35"/>
    <row r="733" ht="14.25" customHeight="1" x14ac:dyDescent="0.35"/>
    <row r="734" ht="14.25" customHeight="1" x14ac:dyDescent="0.35"/>
    <row r="735" ht="14.25" customHeight="1" x14ac:dyDescent="0.35"/>
    <row r="736" ht="14.25" customHeight="1" x14ac:dyDescent="0.35"/>
    <row r="737" ht="14.25" customHeight="1" x14ac:dyDescent="0.35"/>
    <row r="738" ht="14.25" customHeight="1" x14ac:dyDescent="0.35"/>
    <row r="739" ht="14.25" customHeight="1" x14ac:dyDescent="0.35"/>
    <row r="740" ht="14.25" customHeight="1" x14ac:dyDescent="0.35"/>
    <row r="741" ht="14.25" customHeight="1" x14ac:dyDescent="0.35"/>
    <row r="742" ht="14.25" customHeight="1" x14ac:dyDescent="0.35"/>
    <row r="743" ht="14.25" customHeight="1" x14ac:dyDescent="0.35"/>
    <row r="744" ht="14.25" customHeight="1" x14ac:dyDescent="0.35"/>
    <row r="745" ht="14.25" customHeight="1" x14ac:dyDescent="0.35"/>
    <row r="746" ht="14.25" customHeight="1" x14ac:dyDescent="0.35"/>
    <row r="747" ht="14.25" customHeight="1" x14ac:dyDescent="0.35"/>
    <row r="748" ht="14.25" customHeight="1" x14ac:dyDescent="0.35"/>
    <row r="749" ht="14.25" customHeight="1" x14ac:dyDescent="0.35"/>
    <row r="750" ht="14.25" customHeight="1" x14ac:dyDescent="0.35"/>
    <row r="751" ht="14.25" customHeight="1" x14ac:dyDescent="0.35"/>
    <row r="752" ht="14.25" customHeight="1" x14ac:dyDescent="0.35"/>
    <row r="753" ht="14.25" customHeight="1" x14ac:dyDescent="0.35"/>
    <row r="754" ht="14.25" customHeight="1" x14ac:dyDescent="0.35"/>
    <row r="755" ht="14.25" customHeight="1" x14ac:dyDescent="0.35"/>
    <row r="756" ht="14.25" customHeight="1" x14ac:dyDescent="0.35"/>
    <row r="757" ht="14.25" customHeight="1" x14ac:dyDescent="0.35"/>
    <row r="758" ht="14.25" customHeight="1" x14ac:dyDescent="0.35"/>
    <row r="759" ht="14.25" customHeight="1" x14ac:dyDescent="0.35"/>
    <row r="760" ht="14.25" customHeight="1" x14ac:dyDescent="0.35"/>
    <row r="761" ht="14.25" customHeight="1" x14ac:dyDescent="0.35"/>
    <row r="762" ht="14.25" customHeight="1" x14ac:dyDescent="0.35"/>
    <row r="763" ht="14.25" customHeight="1" x14ac:dyDescent="0.35"/>
    <row r="764" ht="14.25" customHeight="1" x14ac:dyDescent="0.35"/>
    <row r="765" ht="14.25" customHeight="1" x14ac:dyDescent="0.35"/>
    <row r="766" ht="14.25" customHeight="1" x14ac:dyDescent="0.35"/>
    <row r="767" ht="14.25" customHeight="1" x14ac:dyDescent="0.35"/>
    <row r="768" ht="14.25" customHeight="1" x14ac:dyDescent="0.35"/>
    <row r="769" ht="14.25" customHeight="1" x14ac:dyDescent="0.35"/>
    <row r="770" ht="14.25" customHeight="1" x14ac:dyDescent="0.35"/>
    <row r="771" ht="14.25" customHeight="1" x14ac:dyDescent="0.35"/>
    <row r="772" ht="14.25" customHeight="1" x14ac:dyDescent="0.35"/>
    <row r="773" ht="14.25" customHeight="1" x14ac:dyDescent="0.35"/>
    <row r="774" ht="14.25" customHeight="1" x14ac:dyDescent="0.35"/>
    <row r="775" ht="14.25" customHeight="1" x14ac:dyDescent="0.35"/>
    <row r="776" ht="14.25" customHeight="1" x14ac:dyDescent="0.35"/>
    <row r="777" ht="14.25" customHeight="1" x14ac:dyDescent="0.35"/>
    <row r="778" ht="14.25" customHeight="1" x14ac:dyDescent="0.35"/>
    <row r="779" ht="14.25" customHeight="1" x14ac:dyDescent="0.35"/>
    <row r="780" ht="14.25" customHeight="1" x14ac:dyDescent="0.35"/>
    <row r="781" ht="14.25" customHeight="1" x14ac:dyDescent="0.35"/>
    <row r="782" ht="14.25" customHeight="1" x14ac:dyDescent="0.35"/>
    <row r="783" ht="14.25" customHeight="1" x14ac:dyDescent="0.35"/>
    <row r="784" ht="14.25" customHeight="1" x14ac:dyDescent="0.35"/>
    <row r="785" ht="14.25" customHeight="1" x14ac:dyDescent="0.35"/>
    <row r="786" ht="14.25" customHeight="1" x14ac:dyDescent="0.35"/>
    <row r="787" ht="14.25" customHeight="1" x14ac:dyDescent="0.35"/>
    <row r="788" ht="14.25" customHeight="1" x14ac:dyDescent="0.35"/>
    <row r="789" ht="14.25" customHeight="1" x14ac:dyDescent="0.35"/>
    <row r="790" ht="14.25" customHeight="1" x14ac:dyDescent="0.35"/>
    <row r="791" ht="14.25" customHeight="1" x14ac:dyDescent="0.35"/>
    <row r="792" ht="14.25" customHeight="1" x14ac:dyDescent="0.35"/>
    <row r="793" ht="14.25" customHeight="1" x14ac:dyDescent="0.35"/>
    <row r="794" ht="14.25" customHeight="1" x14ac:dyDescent="0.35"/>
    <row r="795" ht="14.25" customHeight="1" x14ac:dyDescent="0.35"/>
    <row r="796" ht="14.25" customHeight="1" x14ac:dyDescent="0.35"/>
    <row r="797" ht="14.25" customHeight="1" x14ac:dyDescent="0.35"/>
    <row r="798" ht="14.25" customHeight="1" x14ac:dyDescent="0.35"/>
    <row r="799" ht="14.25" customHeight="1" x14ac:dyDescent="0.35"/>
    <row r="800" ht="14.25" customHeight="1" x14ac:dyDescent="0.35"/>
    <row r="801" ht="14.25" customHeight="1" x14ac:dyDescent="0.35"/>
    <row r="802" ht="14.25" customHeight="1" x14ac:dyDescent="0.35"/>
    <row r="803" ht="14.25" customHeight="1" x14ac:dyDescent="0.35"/>
    <row r="804" ht="14.25" customHeight="1" x14ac:dyDescent="0.35"/>
    <row r="805" ht="14.25" customHeight="1" x14ac:dyDescent="0.35"/>
    <row r="806" ht="14.25" customHeight="1" x14ac:dyDescent="0.35"/>
    <row r="807" ht="14.25" customHeight="1" x14ac:dyDescent="0.35"/>
    <row r="808" ht="14.25" customHeight="1" x14ac:dyDescent="0.35"/>
    <row r="809" ht="14.25" customHeight="1" x14ac:dyDescent="0.35"/>
    <row r="810" ht="14.25" customHeight="1" x14ac:dyDescent="0.35"/>
    <row r="811" ht="14.25" customHeight="1" x14ac:dyDescent="0.35"/>
    <row r="812" ht="14.25" customHeight="1" x14ac:dyDescent="0.35"/>
    <row r="813" ht="14.25" customHeight="1" x14ac:dyDescent="0.35"/>
    <row r="814" ht="14.25" customHeight="1" x14ac:dyDescent="0.35"/>
    <row r="815" ht="14.25" customHeight="1" x14ac:dyDescent="0.35"/>
    <row r="816" ht="14.25" customHeight="1" x14ac:dyDescent="0.35"/>
    <row r="817" ht="14.25" customHeight="1" x14ac:dyDescent="0.35"/>
    <row r="818" ht="14.25" customHeight="1" x14ac:dyDescent="0.35"/>
    <row r="819" ht="14.25" customHeight="1" x14ac:dyDescent="0.35"/>
    <row r="820" ht="14.25" customHeight="1" x14ac:dyDescent="0.35"/>
    <row r="821" ht="14.25" customHeight="1" x14ac:dyDescent="0.35"/>
    <row r="822" ht="14.25" customHeight="1" x14ac:dyDescent="0.35"/>
    <row r="823" ht="14.25" customHeight="1" x14ac:dyDescent="0.35"/>
    <row r="824" ht="14.25" customHeight="1" x14ac:dyDescent="0.35"/>
    <row r="825" ht="14.25" customHeight="1" x14ac:dyDescent="0.35"/>
    <row r="826" ht="14.25" customHeight="1" x14ac:dyDescent="0.35"/>
    <row r="827" ht="14.25" customHeight="1" x14ac:dyDescent="0.35"/>
    <row r="828" ht="14.25" customHeight="1" x14ac:dyDescent="0.35"/>
    <row r="829" ht="14.25" customHeight="1" x14ac:dyDescent="0.35"/>
    <row r="830" ht="14.25" customHeight="1" x14ac:dyDescent="0.35"/>
    <row r="831" ht="14.25" customHeight="1" x14ac:dyDescent="0.35"/>
    <row r="832" ht="14.25" customHeight="1" x14ac:dyDescent="0.35"/>
    <row r="833" ht="14.25" customHeight="1" x14ac:dyDescent="0.35"/>
    <row r="834" ht="14.25" customHeight="1" x14ac:dyDescent="0.35"/>
    <row r="835" ht="14.25" customHeight="1" x14ac:dyDescent="0.35"/>
    <row r="836" ht="14.25" customHeight="1" x14ac:dyDescent="0.35"/>
    <row r="837" ht="14.25" customHeight="1" x14ac:dyDescent="0.35"/>
    <row r="838" ht="14.25" customHeight="1" x14ac:dyDescent="0.35"/>
    <row r="839" ht="14.25" customHeight="1" x14ac:dyDescent="0.35"/>
    <row r="840" ht="14.25" customHeight="1" x14ac:dyDescent="0.35"/>
    <row r="841" ht="14.25" customHeight="1" x14ac:dyDescent="0.35"/>
    <row r="842" ht="14.25" customHeight="1" x14ac:dyDescent="0.35"/>
    <row r="843" ht="14.25" customHeight="1" x14ac:dyDescent="0.35"/>
    <row r="844" ht="14.25" customHeight="1" x14ac:dyDescent="0.35"/>
    <row r="845" ht="14.25" customHeight="1" x14ac:dyDescent="0.35"/>
    <row r="846" ht="14.25" customHeight="1" x14ac:dyDescent="0.35"/>
    <row r="847" ht="14.25" customHeight="1" x14ac:dyDescent="0.35"/>
    <row r="848" ht="14.25" customHeight="1" x14ac:dyDescent="0.35"/>
    <row r="849" ht="14.25" customHeight="1" x14ac:dyDescent="0.35"/>
    <row r="850" ht="14.25" customHeight="1" x14ac:dyDescent="0.35"/>
    <row r="851" ht="14.25" customHeight="1" x14ac:dyDescent="0.35"/>
    <row r="852" ht="14.25" customHeight="1" x14ac:dyDescent="0.35"/>
    <row r="853" ht="14.25" customHeight="1" x14ac:dyDescent="0.35"/>
    <row r="854" ht="14.25" customHeight="1" x14ac:dyDescent="0.35"/>
    <row r="855" ht="14.25" customHeight="1" x14ac:dyDescent="0.35"/>
    <row r="856" ht="14.25" customHeight="1" x14ac:dyDescent="0.35"/>
    <row r="857" ht="14.25" customHeight="1" x14ac:dyDescent="0.35"/>
    <row r="858" ht="14.25" customHeight="1" x14ac:dyDescent="0.35"/>
    <row r="859" ht="14.25" customHeight="1" x14ac:dyDescent="0.35"/>
    <row r="860" ht="14.25" customHeight="1" x14ac:dyDescent="0.35"/>
    <row r="861" ht="14.25" customHeight="1" x14ac:dyDescent="0.35"/>
    <row r="862" ht="14.25" customHeight="1" x14ac:dyDescent="0.35"/>
    <row r="863" ht="14.25" customHeight="1" x14ac:dyDescent="0.35"/>
    <row r="864" ht="14.25" customHeight="1" x14ac:dyDescent="0.35"/>
    <row r="865" ht="14.25" customHeight="1" x14ac:dyDescent="0.35"/>
    <row r="866" ht="14.25" customHeight="1" x14ac:dyDescent="0.35"/>
    <row r="867" ht="14.25" customHeight="1" x14ac:dyDescent="0.35"/>
    <row r="868" ht="14.25" customHeight="1" x14ac:dyDescent="0.35"/>
    <row r="869" ht="14.25" customHeight="1" x14ac:dyDescent="0.35"/>
    <row r="870" ht="14.25" customHeight="1" x14ac:dyDescent="0.35"/>
    <row r="871" ht="14.25" customHeight="1" x14ac:dyDescent="0.35"/>
    <row r="872" ht="14.25" customHeight="1" x14ac:dyDescent="0.35"/>
    <row r="873" ht="14.25" customHeight="1" x14ac:dyDescent="0.35"/>
    <row r="874" ht="14.25" customHeight="1" x14ac:dyDescent="0.35"/>
    <row r="875" ht="14.25" customHeight="1" x14ac:dyDescent="0.35"/>
    <row r="876" ht="14.25" customHeight="1" x14ac:dyDescent="0.35"/>
    <row r="877" ht="14.25" customHeight="1" x14ac:dyDescent="0.35"/>
    <row r="878" ht="14.25" customHeight="1" x14ac:dyDescent="0.35"/>
    <row r="879" ht="14.25" customHeight="1" x14ac:dyDescent="0.35"/>
    <row r="880" ht="14.25" customHeight="1" x14ac:dyDescent="0.35"/>
    <row r="881" ht="14.25" customHeight="1" x14ac:dyDescent="0.35"/>
    <row r="882" ht="14.25" customHeight="1" x14ac:dyDescent="0.35"/>
    <row r="883" ht="14.25" customHeight="1" x14ac:dyDescent="0.35"/>
    <row r="884" ht="14.25" customHeight="1" x14ac:dyDescent="0.35"/>
    <row r="885" ht="14.25" customHeight="1" x14ac:dyDescent="0.35"/>
    <row r="886" ht="14.25" customHeight="1" x14ac:dyDescent="0.35"/>
    <row r="887" ht="14.25" customHeight="1" x14ac:dyDescent="0.35"/>
    <row r="888" ht="14.25" customHeight="1" x14ac:dyDescent="0.35"/>
    <row r="889" ht="14.25" customHeight="1" x14ac:dyDescent="0.35"/>
    <row r="890" ht="14.25" customHeight="1" x14ac:dyDescent="0.35"/>
    <row r="891" ht="14.25" customHeight="1" x14ac:dyDescent="0.35"/>
    <row r="892" ht="14.25" customHeight="1" x14ac:dyDescent="0.35"/>
    <row r="893" ht="14.25" customHeight="1" x14ac:dyDescent="0.35"/>
    <row r="894" ht="14.25" customHeight="1" x14ac:dyDescent="0.35"/>
    <row r="895" ht="14.25" customHeight="1" x14ac:dyDescent="0.35"/>
    <row r="896" ht="14.25" customHeight="1" x14ac:dyDescent="0.35"/>
    <row r="897" ht="14.25" customHeight="1" x14ac:dyDescent="0.35"/>
    <row r="898" ht="14.25" customHeight="1" x14ac:dyDescent="0.35"/>
    <row r="899" ht="14.25" customHeight="1" x14ac:dyDescent="0.35"/>
    <row r="900" ht="14.25" customHeight="1" x14ac:dyDescent="0.35"/>
    <row r="901" ht="14.25" customHeight="1" x14ac:dyDescent="0.35"/>
    <row r="902" ht="14.25" customHeight="1" x14ac:dyDescent="0.35"/>
    <row r="903" ht="14.25" customHeight="1" x14ac:dyDescent="0.35"/>
    <row r="904" ht="14.25" customHeight="1" x14ac:dyDescent="0.35"/>
    <row r="905" ht="14.25" customHeight="1" x14ac:dyDescent="0.35"/>
    <row r="906" ht="14.25" customHeight="1" x14ac:dyDescent="0.35"/>
    <row r="907" ht="14.25" customHeight="1" x14ac:dyDescent="0.35"/>
    <row r="908" ht="14.25" customHeight="1" x14ac:dyDescent="0.35"/>
    <row r="909" ht="14.25" customHeight="1" x14ac:dyDescent="0.35"/>
    <row r="910" ht="14.25" customHeight="1" x14ac:dyDescent="0.35"/>
    <row r="911" ht="14.25" customHeight="1" x14ac:dyDescent="0.35"/>
    <row r="912" ht="14.25" customHeight="1" x14ac:dyDescent="0.35"/>
    <row r="913" ht="14.25" customHeight="1" x14ac:dyDescent="0.35"/>
    <row r="914" ht="14.25" customHeight="1" x14ac:dyDescent="0.35"/>
    <row r="915" ht="14.25" customHeight="1" x14ac:dyDescent="0.35"/>
    <row r="916" ht="14.25" customHeight="1" x14ac:dyDescent="0.35"/>
    <row r="917" ht="14.25" customHeight="1" x14ac:dyDescent="0.35"/>
    <row r="918" ht="14.25" customHeight="1" x14ac:dyDescent="0.35"/>
    <row r="919" ht="14.25" customHeight="1" x14ac:dyDescent="0.35"/>
    <row r="920" ht="14.25" customHeight="1" x14ac:dyDescent="0.35"/>
    <row r="921" ht="14.25" customHeight="1" x14ac:dyDescent="0.35"/>
    <row r="922" ht="14.25" customHeight="1" x14ac:dyDescent="0.35"/>
    <row r="923" ht="14.25" customHeight="1" x14ac:dyDescent="0.35"/>
    <row r="924" ht="14.25" customHeight="1" x14ac:dyDescent="0.35"/>
    <row r="925" ht="14.25" customHeight="1" x14ac:dyDescent="0.35"/>
    <row r="926" ht="14.25" customHeight="1" x14ac:dyDescent="0.35"/>
    <row r="927" ht="14.25" customHeight="1" x14ac:dyDescent="0.35"/>
    <row r="928" ht="14.25" customHeight="1" x14ac:dyDescent="0.35"/>
    <row r="929" ht="14.25" customHeight="1" x14ac:dyDescent="0.35"/>
    <row r="930" ht="14.25" customHeight="1" x14ac:dyDescent="0.35"/>
    <row r="931" ht="14.25" customHeight="1" x14ac:dyDescent="0.35"/>
    <row r="932" ht="14.25" customHeight="1" x14ac:dyDescent="0.35"/>
    <row r="933" ht="14.25" customHeight="1" x14ac:dyDescent="0.35"/>
    <row r="934" ht="14.25" customHeight="1" x14ac:dyDescent="0.35"/>
    <row r="935" ht="14.25" customHeight="1" x14ac:dyDescent="0.35"/>
    <row r="936" ht="14.25" customHeight="1" x14ac:dyDescent="0.35"/>
    <row r="937" ht="14.25" customHeight="1" x14ac:dyDescent="0.35"/>
    <row r="938" ht="14.25" customHeight="1" x14ac:dyDescent="0.35"/>
    <row r="939" ht="14.25" customHeight="1" x14ac:dyDescent="0.35"/>
    <row r="940" ht="14.25" customHeight="1" x14ac:dyDescent="0.35"/>
    <row r="941" ht="14.25" customHeight="1" x14ac:dyDescent="0.35"/>
    <row r="942" ht="14.25" customHeight="1" x14ac:dyDescent="0.35"/>
    <row r="943" ht="14.25" customHeight="1" x14ac:dyDescent="0.35"/>
    <row r="944" ht="14.25" customHeight="1" x14ac:dyDescent="0.35"/>
    <row r="945" ht="14.25" customHeight="1" x14ac:dyDescent="0.35"/>
    <row r="946" ht="14.25" customHeight="1" x14ac:dyDescent="0.35"/>
    <row r="947" ht="14.25" customHeight="1" x14ac:dyDescent="0.35"/>
    <row r="948" ht="14.25" customHeight="1" x14ac:dyDescent="0.35"/>
    <row r="949" ht="14.25" customHeight="1" x14ac:dyDescent="0.35"/>
    <row r="950" ht="14.25" customHeight="1" x14ac:dyDescent="0.35"/>
    <row r="951" ht="14.25" customHeight="1" x14ac:dyDescent="0.35"/>
    <row r="952" ht="14.25" customHeight="1" x14ac:dyDescent="0.35"/>
    <row r="953" ht="14.25" customHeight="1" x14ac:dyDescent="0.35"/>
    <row r="954" ht="14.25" customHeight="1" x14ac:dyDescent="0.35"/>
    <row r="955" ht="14.25" customHeight="1" x14ac:dyDescent="0.35"/>
    <row r="956" ht="14.25" customHeight="1" x14ac:dyDescent="0.35"/>
    <row r="957" ht="14.25" customHeight="1" x14ac:dyDescent="0.35"/>
    <row r="958" ht="14.25" customHeight="1" x14ac:dyDescent="0.35"/>
    <row r="959" ht="14.25" customHeight="1" x14ac:dyDescent="0.35"/>
    <row r="960" ht="14.25" customHeight="1" x14ac:dyDescent="0.35"/>
    <row r="961" ht="14.25" customHeight="1" x14ac:dyDescent="0.35"/>
    <row r="962" ht="14.25" customHeight="1" x14ac:dyDescent="0.35"/>
    <row r="963" ht="14.25" customHeight="1" x14ac:dyDescent="0.35"/>
    <row r="964" ht="14.25" customHeight="1" x14ac:dyDescent="0.35"/>
    <row r="965" ht="14.25" customHeight="1" x14ac:dyDescent="0.35"/>
    <row r="966" ht="14.25" customHeight="1" x14ac:dyDescent="0.35"/>
    <row r="967" ht="14.25" customHeight="1" x14ac:dyDescent="0.35"/>
    <row r="968" ht="14.25" customHeight="1" x14ac:dyDescent="0.35"/>
    <row r="969" ht="14.25" customHeight="1" x14ac:dyDescent="0.35"/>
    <row r="970" ht="14.25" customHeight="1" x14ac:dyDescent="0.35"/>
    <row r="971" ht="14.25" customHeight="1" x14ac:dyDescent="0.35"/>
    <row r="972" ht="14.25" customHeight="1" x14ac:dyDescent="0.35"/>
    <row r="973" ht="14.25" customHeight="1" x14ac:dyDescent="0.35"/>
    <row r="974" ht="14.25" customHeight="1" x14ac:dyDescent="0.35"/>
    <row r="975" ht="14.25" customHeight="1" x14ac:dyDescent="0.35"/>
    <row r="976" ht="14.25" customHeight="1" x14ac:dyDescent="0.35"/>
    <row r="977" ht="14.25" customHeight="1" x14ac:dyDescent="0.35"/>
    <row r="978" ht="14.25" customHeight="1" x14ac:dyDescent="0.35"/>
    <row r="979" ht="14.25" customHeight="1" x14ac:dyDescent="0.35"/>
    <row r="980" ht="14.25" customHeight="1" x14ac:dyDescent="0.35"/>
    <row r="981" ht="14.25" customHeight="1" x14ac:dyDescent="0.35"/>
    <row r="982" ht="14.25" customHeight="1" x14ac:dyDescent="0.35"/>
    <row r="983" ht="14.25" customHeight="1" x14ac:dyDescent="0.35"/>
    <row r="984" ht="14.25" customHeight="1" x14ac:dyDescent="0.35"/>
    <row r="985" ht="14.25" customHeight="1" x14ac:dyDescent="0.35"/>
    <row r="986" ht="14.25" customHeight="1" x14ac:dyDescent="0.35"/>
    <row r="987" ht="14.25" customHeight="1" x14ac:dyDescent="0.35"/>
    <row r="988" ht="14.25" customHeight="1" x14ac:dyDescent="0.35"/>
    <row r="989" ht="14.25" customHeight="1" x14ac:dyDescent="0.35"/>
    <row r="990" ht="14.25" customHeight="1" x14ac:dyDescent="0.35"/>
    <row r="991" ht="14.25" customHeight="1" x14ac:dyDescent="0.35"/>
    <row r="992" ht="14.25" customHeight="1" x14ac:dyDescent="0.35"/>
    <row r="993" ht="14.25" customHeight="1" x14ac:dyDescent="0.35"/>
    <row r="994" ht="14.25" customHeight="1" x14ac:dyDescent="0.35"/>
    <row r="995" ht="14.25" customHeight="1" x14ac:dyDescent="0.35"/>
    <row r="996" ht="14.25" customHeight="1" x14ac:dyDescent="0.35"/>
    <row r="997" ht="14.25" customHeight="1" x14ac:dyDescent="0.35"/>
    <row r="998" ht="14.25" customHeight="1" x14ac:dyDescent="0.35"/>
    <row r="999" ht="14.25" customHeight="1" x14ac:dyDescent="0.35"/>
    <row r="1000" ht="14.25" customHeight="1" x14ac:dyDescent="0.35"/>
  </sheetData>
  <pageMargins left="0.7" right="0.7" top="0.75" bottom="0.75" header="0.511811023622047" footer="0.511811023622047"/>
  <pageSetup orientation="landscape"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1:F1000"/>
  <sheetViews>
    <sheetView showGridLines="0" zoomScaleNormal="100" workbookViewId="0">
      <selection activeCell="J31" sqref="J31"/>
    </sheetView>
  </sheetViews>
  <sheetFormatPr defaultColWidth="14.453125" defaultRowHeight="14.5" x14ac:dyDescent="0.35"/>
  <cols>
    <col min="1" max="1" width="8.7265625" customWidth="1"/>
    <col min="2" max="2" width="16.08984375" customWidth="1"/>
    <col min="3" max="3" width="14.7265625" customWidth="1"/>
    <col min="4" max="4" width="5.54296875" customWidth="1"/>
    <col min="5" max="5" width="5" customWidth="1"/>
    <col min="6" max="6" width="10.08984375" customWidth="1"/>
    <col min="7" max="26" width="8.7265625" customWidth="1"/>
  </cols>
  <sheetData>
    <row r="1" spans="2:6" ht="14.25" customHeight="1" x14ac:dyDescent="0.35"/>
    <row r="2" spans="2:6" ht="14.25" customHeight="1" x14ac:dyDescent="0.35"/>
    <row r="3" spans="2:6" ht="14.25" customHeight="1" x14ac:dyDescent="0.35">
      <c r="B3" s="96" t="s">
        <v>74</v>
      </c>
      <c r="C3" s="96" t="s">
        <v>75</v>
      </c>
    </row>
    <row r="4" spans="2:6" ht="14.25" customHeight="1" x14ac:dyDescent="0.35">
      <c r="B4" s="81" t="s">
        <v>76</v>
      </c>
      <c r="C4" s="82" t="s">
        <v>62</v>
      </c>
      <c r="D4" s="82" t="s">
        <v>49</v>
      </c>
      <c r="E4" s="82" t="s">
        <v>56</v>
      </c>
      <c r="F4" s="82" t="s">
        <v>77</v>
      </c>
    </row>
    <row r="5" spans="2:6" ht="14.25" customHeight="1" x14ac:dyDescent="0.35">
      <c r="B5" s="83" t="s">
        <v>58</v>
      </c>
      <c r="C5" s="49"/>
      <c r="D5" s="49"/>
      <c r="E5" s="49"/>
      <c r="F5" s="49"/>
    </row>
    <row r="6" spans="2:6" ht="14.25" customHeight="1" x14ac:dyDescent="0.35">
      <c r="B6" s="83" t="s">
        <v>52</v>
      </c>
      <c r="C6" s="87">
        <v>14</v>
      </c>
      <c r="D6" s="87">
        <v>34</v>
      </c>
      <c r="E6" s="87">
        <v>70</v>
      </c>
      <c r="F6" s="87">
        <v>118</v>
      </c>
    </row>
    <row r="7" spans="2:6" ht="14.25" customHeight="1" x14ac:dyDescent="0.35">
      <c r="B7" s="83" t="s">
        <v>64</v>
      </c>
      <c r="C7" s="49"/>
      <c r="D7" s="49"/>
      <c r="E7" s="49"/>
      <c r="F7" s="49"/>
    </row>
    <row r="8" spans="2:6" ht="14.25" customHeight="1" x14ac:dyDescent="0.35">
      <c r="B8" s="83" t="s">
        <v>45</v>
      </c>
      <c r="C8" s="87">
        <v>8</v>
      </c>
      <c r="D8" s="87">
        <v>69</v>
      </c>
      <c r="E8" s="87">
        <v>50</v>
      </c>
      <c r="F8" s="87">
        <v>127</v>
      </c>
    </row>
    <row r="9" spans="2:6" ht="14.25" customHeight="1" x14ac:dyDescent="0.35">
      <c r="B9" s="83" t="s">
        <v>44</v>
      </c>
      <c r="C9" s="49"/>
      <c r="D9" s="49"/>
      <c r="E9" s="49"/>
      <c r="F9" s="49"/>
    </row>
    <row r="10" spans="2:6" ht="14.25" customHeight="1" x14ac:dyDescent="0.35">
      <c r="B10" s="83" t="s">
        <v>45</v>
      </c>
      <c r="C10" s="87">
        <v>32</v>
      </c>
      <c r="D10" s="87">
        <v>50</v>
      </c>
      <c r="E10" s="87">
        <v>28</v>
      </c>
      <c r="F10" s="87">
        <v>110</v>
      </c>
    </row>
    <row r="11" spans="2:6" ht="14.25" customHeight="1" x14ac:dyDescent="0.35">
      <c r="B11" s="83" t="s">
        <v>66</v>
      </c>
      <c r="C11" s="49"/>
      <c r="D11" s="49"/>
      <c r="E11" s="49"/>
      <c r="F11" s="49"/>
    </row>
    <row r="12" spans="2:6" ht="14.25" customHeight="1" x14ac:dyDescent="0.35">
      <c r="B12" s="83" t="s">
        <v>45</v>
      </c>
      <c r="C12" s="87">
        <v>54</v>
      </c>
      <c r="D12" s="87">
        <v>85</v>
      </c>
      <c r="E12" s="87">
        <v>40</v>
      </c>
      <c r="F12" s="87">
        <v>179</v>
      </c>
    </row>
    <row r="13" spans="2:6" ht="14.25" customHeight="1" x14ac:dyDescent="0.35">
      <c r="B13" s="85" t="s">
        <v>77</v>
      </c>
      <c r="C13" s="88">
        <v>108</v>
      </c>
      <c r="D13" s="88">
        <v>238</v>
      </c>
      <c r="E13" s="88">
        <v>188</v>
      </c>
      <c r="F13" s="88">
        <v>534</v>
      </c>
    </row>
    <row r="14" spans="2:6" ht="14.25" customHeight="1" x14ac:dyDescent="0.35"/>
    <row r="15" spans="2:6" ht="14.25" customHeight="1" x14ac:dyDescent="0.35"/>
    <row r="16" spans="2:6" ht="14.25" customHeight="1" x14ac:dyDescent="0.35"/>
    <row r="17" ht="14.25" customHeight="1" x14ac:dyDescent="0.35"/>
    <row r="18" ht="14.25" customHeight="1" x14ac:dyDescent="0.35"/>
    <row r="19" ht="14.25" customHeight="1" x14ac:dyDescent="0.35"/>
    <row r="20" ht="14.25" customHeight="1" x14ac:dyDescent="0.35"/>
    <row r="21" ht="14.25" customHeight="1" x14ac:dyDescent="0.35"/>
    <row r="22" ht="14.25" customHeight="1" x14ac:dyDescent="0.35"/>
    <row r="23" ht="14.25" customHeight="1" x14ac:dyDescent="0.35"/>
    <row r="24" ht="14.25" customHeight="1" x14ac:dyDescent="0.35"/>
    <row r="25" ht="14.25" customHeight="1" x14ac:dyDescent="0.35"/>
    <row r="26" ht="14.25" customHeight="1" x14ac:dyDescent="0.35"/>
    <row r="27" ht="14.25" customHeight="1" x14ac:dyDescent="0.35"/>
    <row r="28" ht="14.25" customHeight="1" x14ac:dyDescent="0.35"/>
    <row r="29" ht="14.25" customHeight="1" x14ac:dyDescent="0.35"/>
    <row r="30" ht="14.25" customHeight="1" x14ac:dyDescent="0.35"/>
    <row r="31" ht="14.25" customHeight="1" x14ac:dyDescent="0.35"/>
    <row r="32" ht="14.25" customHeight="1" x14ac:dyDescent="0.35"/>
    <row r="33" ht="14.25" customHeight="1" x14ac:dyDescent="0.35"/>
    <row r="34" ht="14.25" customHeight="1" x14ac:dyDescent="0.35"/>
    <row r="35" ht="14.25" customHeight="1" x14ac:dyDescent="0.35"/>
    <row r="36" ht="14.25" customHeight="1" x14ac:dyDescent="0.35"/>
    <row r="37" ht="14.25" customHeight="1" x14ac:dyDescent="0.35"/>
    <row r="38" ht="14.25" customHeight="1" x14ac:dyDescent="0.35"/>
    <row r="39" ht="14.25" customHeight="1" x14ac:dyDescent="0.35"/>
    <row r="40" ht="14.25" customHeight="1" x14ac:dyDescent="0.35"/>
    <row r="41" ht="14.25" customHeight="1" x14ac:dyDescent="0.35"/>
    <row r="42" ht="14.25" customHeight="1" x14ac:dyDescent="0.35"/>
    <row r="43" ht="14.25" customHeight="1" x14ac:dyDescent="0.35"/>
    <row r="44" ht="14.25" customHeight="1" x14ac:dyDescent="0.35"/>
    <row r="45" ht="14.25" customHeight="1" x14ac:dyDescent="0.35"/>
    <row r="46" ht="14.25" customHeight="1" x14ac:dyDescent="0.35"/>
    <row r="47" ht="14.25" customHeight="1" x14ac:dyDescent="0.35"/>
    <row r="48" ht="14.25" customHeight="1" x14ac:dyDescent="0.35"/>
    <row r="49" ht="14.25" customHeight="1" x14ac:dyDescent="0.35"/>
    <row r="50" ht="14.25" customHeight="1" x14ac:dyDescent="0.35"/>
    <row r="51" ht="14.25" customHeight="1" x14ac:dyDescent="0.35"/>
    <row r="52" ht="14.25" customHeight="1" x14ac:dyDescent="0.35"/>
    <row r="53" ht="14.25" customHeight="1" x14ac:dyDescent="0.35"/>
    <row r="54" ht="14.25" customHeight="1" x14ac:dyDescent="0.35"/>
    <row r="55" ht="14.25" customHeight="1" x14ac:dyDescent="0.35"/>
    <row r="56" ht="14.25" customHeight="1" x14ac:dyDescent="0.35"/>
    <row r="57" ht="14.25" customHeight="1" x14ac:dyDescent="0.35"/>
    <row r="58" ht="14.25" customHeight="1" x14ac:dyDescent="0.35"/>
    <row r="59" ht="14.25" customHeight="1" x14ac:dyDescent="0.35"/>
    <row r="60" ht="14.25" customHeight="1" x14ac:dyDescent="0.35"/>
    <row r="61" ht="14.25" customHeight="1" x14ac:dyDescent="0.35"/>
    <row r="62" ht="14.25" customHeight="1" x14ac:dyDescent="0.35"/>
    <row r="63" ht="14.25" customHeight="1" x14ac:dyDescent="0.35"/>
    <row r="64" ht="14.25" customHeight="1" x14ac:dyDescent="0.35"/>
    <row r="65" ht="14.25" customHeight="1" x14ac:dyDescent="0.35"/>
    <row r="66" ht="14.25" customHeight="1" x14ac:dyDescent="0.35"/>
    <row r="67" ht="14.25" customHeight="1" x14ac:dyDescent="0.35"/>
    <row r="68" ht="14.25" customHeight="1" x14ac:dyDescent="0.35"/>
    <row r="69" ht="14.25" customHeight="1" x14ac:dyDescent="0.35"/>
    <row r="70" ht="14.25" customHeight="1" x14ac:dyDescent="0.35"/>
    <row r="71" ht="14.25" customHeight="1" x14ac:dyDescent="0.35"/>
    <row r="72" ht="14.25" customHeight="1" x14ac:dyDescent="0.35"/>
    <row r="73" ht="14.25" customHeight="1" x14ac:dyDescent="0.35"/>
    <row r="74" ht="14.25" customHeight="1" x14ac:dyDescent="0.35"/>
    <row r="75" ht="14.25" customHeight="1" x14ac:dyDescent="0.35"/>
    <row r="76" ht="14.25" customHeight="1" x14ac:dyDescent="0.35"/>
    <row r="77" ht="14.25" customHeight="1" x14ac:dyDescent="0.35"/>
    <row r="78" ht="14.25" customHeight="1" x14ac:dyDescent="0.35"/>
    <row r="79" ht="14.25" customHeight="1" x14ac:dyDescent="0.35"/>
    <row r="80" ht="14.25" customHeight="1" x14ac:dyDescent="0.35"/>
    <row r="81" ht="14.25" customHeight="1" x14ac:dyDescent="0.35"/>
    <row r="82" ht="14.25" customHeight="1" x14ac:dyDescent="0.35"/>
    <row r="83" ht="14.25" customHeight="1" x14ac:dyDescent="0.35"/>
    <row r="84" ht="14.25" customHeight="1" x14ac:dyDescent="0.35"/>
    <row r="85" ht="14.25" customHeight="1" x14ac:dyDescent="0.35"/>
    <row r="86" ht="14.25" customHeight="1" x14ac:dyDescent="0.35"/>
    <row r="87" ht="14.25" customHeight="1" x14ac:dyDescent="0.35"/>
    <row r="88" ht="14.25" customHeight="1" x14ac:dyDescent="0.35"/>
    <row r="89" ht="14.25" customHeight="1" x14ac:dyDescent="0.35"/>
    <row r="90" ht="14.25" customHeight="1" x14ac:dyDescent="0.35"/>
    <row r="91" ht="14.25" customHeight="1" x14ac:dyDescent="0.35"/>
    <row r="92" ht="14.25" customHeight="1" x14ac:dyDescent="0.35"/>
    <row r="93" ht="14.25" customHeight="1" x14ac:dyDescent="0.35"/>
    <row r="94" ht="14.25" customHeight="1" x14ac:dyDescent="0.35"/>
    <row r="95" ht="14.25" customHeight="1" x14ac:dyDescent="0.35"/>
    <row r="96" ht="14.25" customHeight="1" x14ac:dyDescent="0.35"/>
    <row r="97" ht="14.25" customHeight="1" x14ac:dyDescent="0.35"/>
    <row r="98" ht="14.25" customHeight="1" x14ac:dyDescent="0.35"/>
    <row r="99" ht="14.25" customHeight="1" x14ac:dyDescent="0.35"/>
    <row r="100" ht="14.25" customHeight="1" x14ac:dyDescent="0.35"/>
    <row r="101" ht="14.25" customHeight="1" x14ac:dyDescent="0.35"/>
    <row r="102" ht="14.25" customHeight="1" x14ac:dyDescent="0.35"/>
    <row r="103" ht="14.25" customHeight="1" x14ac:dyDescent="0.35"/>
    <row r="104" ht="14.25" customHeight="1" x14ac:dyDescent="0.35"/>
    <row r="105" ht="14.25" customHeight="1" x14ac:dyDescent="0.35"/>
    <row r="106" ht="14.25" customHeight="1" x14ac:dyDescent="0.35"/>
    <row r="107" ht="14.25" customHeight="1" x14ac:dyDescent="0.35"/>
    <row r="108" ht="14.25" customHeight="1" x14ac:dyDescent="0.35"/>
    <row r="109" ht="14.25" customHeight="1" x14ac:dyDescent="0.35"/>
    <row r="110" ht="14.25" customHeight="1" x14ac:dyDescent="0.35"/>
    <row r="111" ht="14.25" customHeight="1" x14ac:dyDescent="0.35"/>
    <row r="112" ht="14.25" customHeight="1" x14ac:dyDescent="0.35"/>
    <row r="113" ht="14.25" customHeight="1" x14ac:dyDescent="0.35"/>
    <row r="114" ht="14.25" customHeight="1" x14ac:dyDescent="0.35"/>
    <row r="115" ht="14.25" customHeight="1" x14ac:dyDescent="0.35"/>
    <row r="116" ht="14.25" customHeight="1" x14ac:dyDescent="0.35"/>
    <row r="117" ht="14.25" customHeight="1" x14ac:dyDescent="0.35"/>
    <row r="118" ht="14.25" customHeight="1" x14ac:dyDescent="0.35"/>
    <row r="119" ht="14.25" customHeight="1" x14ac:dyDescent="0.35"/>
    <row r="120" ht="14.25" customHeight="1" x14ac:dyDescent="0.35"/>
    <row r="121" ht="14.25" customHeight="1" x14ac:dyDescent="0.35"/>
    <row r="122" ht="14.25" customHeight="1" x14ac:dyDescent="0.35"/>
    <row r="123" ht="14.25" customHeight="1" x14ac:dyDescent="0.35"/>
    <row r="124" ht="14.25" customHeight="1" x14ac:dyDescent="0.35"/>
    <row r="125" ht="14.25" customHeight="1" x14ac:dyDescent="0.35"/>
    <row r="126" ht="14.25" customHeight="1" x14ac:dyDescent="0.35"/>
    <row r="127" ht="14.25" customHeight="1" x14ac:dyDescent="0.35"/>
    <row r="128" ht="14.25" customHeight="1" x14ac:dyDescent="0.35"/>
    <row r="129" ht="14.25" customHeight="1" x14ac:dyDescent="0.35"/>
    <row r="130" ht="14.25" customHeight="1" x14ac:dyDescent="0.35"/>
    <row r="131" ht="14.25" customHeight="1" x14ac:dyDescent="0.35"/>
    <row r="132" ht="14.25" customHeight="1" x14ac:dyDescent="0.35"/>
    <row r="133" ht="14.25" customHeight="1" x14ac:dyDescent="0.35"/>
    <row r="134" ht="14.25" customHeight="1" x14ac:dyDescent="0.35"/>
    <row r="135" ht="14.25" customHeight="1" x14ac:dyDescent="0.35"/>
    <row r="136" ht="14.25" customHeight="1" x14ac:dyDescent="0.35"/>
    <row r="137" ht="14.25" customHeight="1" x14ac:dyDescent="0.35"/>
    <row r="138" ht="14.25" customHeight="1" x14ac:dyDescent="0.35"/>
    <row r="139" ht="14.25" customHeight="1" x14ac:dyDescent="0.35"/>
    <row r="140" ht="14.25" customHeight="1" x14ac:dyDescent="0.35"/>
    <row r="141" ht="14.25" customHeight="1" x14ac:dyDescent="0.35"/>
    <row r="142" ht="14.25" customHeight="1" x14ac:dyDescent="0.35"/>
    <row r="143" ht="14.25" customHeight="1" x14ac:dyDescent="0.35"/>
    <row r="144" ht="14.25" customHeight="1" x14ac:dyDescent="0.35"/>
    <row r="145" ht="14.25" customHeight="1" x14ac:dyDescent="0.35"/>
    <row r="146" ht="14.25" customHeight="1" x14ac:dyDescent="0.35"/>
    <row r="147" ht="14.25" customHeight="1" x14ac:dyDescent="0.35"/>
    <row r="148" ht="14.25" customHeight="1" x14ac:dyDescent="0.35"/>
    <row r="149" ht="14.25" customHeight="1" x14ac:dyDescent="0.35"/>
    <row r="150" ht="14.25" customHeight="1" x14ac:dyDescent="0.35"/>
    <row r="151" ht="14.25" customHeight="1" x14ac:dyDescent="0.35"/>
    <row r="152" ht="14.25" customHeight="1" x14ac:dyDescent="0.35"/>
    <row r="153" ht="14.25" customHeight="1" x14ac:dyDescent="0.35"/>
    <row r="154" ht="14.25" customHeight="1" x14ac:dyDescent="0.35"/>
    <row r="155" ht="14.25" customHeight="1" x14ac:dyDescent="0.35"/>
    <row r="156" ht="14.25" customHeight="1" x14ac:dyDescent="0.35"/>
    <row r="157" ht="14.25" customHeight="1" x14ac:dyDescent="0.35"/>
    <row r="158" ht="14.25" customHeight="1" x14ac:dyDescent="0.35"/>
    <row r="159" ht="14.25" customHeight="1" x14ac:dyDescent="0.35"/>
    <row r="160" ht="14.25" customHeight="1" x14ac:dyDescent="0.35"/>
    <row r="161" ht="14.25" customHeight="1" x14ac:dyDescent="0.35"/>
    <row r="162" ht="14.25" customHeight="1" x14ac:dyDescent="0.35"/>
    <row r="163" ht="14.25" customHeight="1" x14ac:dyDescent="0.35"/>
    <row r="164" ht="14.25" customHeight="1" x14ac:dyDescent="0.35"/>
    <row r="165" ht="14.25" customHeight="1" x14ac:dyDescent="0.35"/>
    <row r="166" ht="14.25" customHeight="1" x14ac:dyDescent="0.35"/>
    <row r="167" ht="14.25" customHeight="1" x14ac:dyDescent="0.35"/>
    <row r="168" ht="14.25" customHeight="1" x14ac:dyDescent="0.35"/>
    <row r="169" ht="14.25" customHeight="1" x14ac:dyDescent="0.35"/>
    <row r="170" ht="14.25" customHeight="1" x14ac:dyDescent="0.35"/>
    <row r="171" ht="14.25" customHeight="1" x14ac:dyDescent="0.35"/>
    <row r="172" ht="14.25" customHeight="1" x14ac:dyDescent="0.35"/>
    <row r="173" ht="14.25" customHeight="1" x14ac:dyDescent="0.35"/>
    <row r="174" ht="14.25" customHeight="1" x14ac:dyDescent="0.35"/>
    <row r="175" ht="14.25" customHeight="1" x14ac:dyDescent="0.35"/>
    <row r="176" ht="14.25" customHeight="1" x14ac:dyDescent="0.35"/>
    <row r="177" ht="14.25" customHeight="1" x14ac:dyDescent="0.35"/>
    <row r="178" ht="14.25" customHeight="1" x14ac:dyDescent="0.35"/>
    <row r="179" ht="14.25" customHeight="1" x14ac:dyDescent="0.35"/>
    <row r="180" ht="14.25" customHeight="1" x14ac:dyDescent="0.35"/>
    <row r="181" ht="14.25" customHeight="1" x14ac:dyDescent="0.35"/>
    <row r="182" ht="14.25" customHeight="1" x14ac:dyDescent="0.35"/>
    <row r="183" ht="14.25" customHeight="1" x14ac:dyDescent="0.35"/>
    <row r="184" ht="14.25" customHeight="1" x14ac:dyDescent="0.35"/>
    <row r="185" ht="14.25" customHeight="1" x14ac:dyDescent="0.35"/>
    <row r="186" ht="14.25" customHeight="1" x14ac:dyDescent="0.35"/>
    <row r="187" ht="14.25" customHeight="1" x14ac:dyDescent="0.35"/>
    <row r="188" ht="14.25" customHeight="1" x14ac:dyDescent="0.35"/>
    <row r="189" ht="14.25" customHeight="1" x14ac:dyDescent="0.35"/>
    <row r="190" ht="14.25" customHeight="1" x14ac:dyDescent="0.35"/>
    <row r="191" ht="14.25" customHeight="1" x14ac:dyDescent="0.35"/>
    <row r="192" ht="14.25" customHeight="1" x14ac:dyDescent="0.35"/>
    <row r="193" ht="14.25" customHeight="1" x14ac:dyDescent="0.35"/>
    <row r="194" ht="14.25" customHeight="1" x14ac:dyDescent="0.35"/>
    <row r="195" ht="14.25" customHeight="1" x14ac:dyDescent="0.35"/>
    <row r="196" ht="14.25" customHeight="1" x14ac:dyDescent="0.35"/>
    <row r="197" ht="14.25" customHeight="1" x14ac:dyDescent="0.35"/>
    <row r="198" ht="14.25" customHeight="1" x14ac:dyDescent="0.35"/>
    <row r="199" ht="14.25" customHeight="1" x14ac:dyDescent="0.35"/>
    <row r="200" ht="14.25" customHeight="1" x14ac:dyDescent="0.35"/>
    <row r="201" ht="14.25" customHeight="1" x14ac:dyDescent="0.35"/>
    <row r="202" ht="14.25" customHeight="1" x14ac:dyDescent="0.35"/>
    <row r="203" ht="14.25" customHeight="1" x14ac:dyDescent="0.35"/>
    <row r="204" ht="14.25" customHeight="1" x14ac:dyDescent="0.35"/>
    <row r="205" ht="14.25" customHeight="1" x14ac:dyDescent="0.35"/>
    <row r="206" ht="14.25" customHeight="1" x14ac:dyDescent="0.35"/>
    <row r="207" ht="14.25" customHeight="1" x14ac:dyDescent="0.35"/>
    <row r="208" ht="14.25" customHeight="1" x14ac:dyDescent="0.35"/>
    <row r="209" ht="14.25" customHeight="1" x14ac:dyDescent="0.35"/>
    <row r="210" ht="14.25" customHeight="1" x14ac:dyDescent="0.35"/>
    <row r="211" ht="14.25" customHeight="1" x14ac:dyDescent="0.35"/>
    <row r="212" ht="14.25" customHeight="1" x14ac:dyDescent="0.35"/>
    <row r="213" ht="14.25" customHeight="1" x14ac:dyDescent="0.35"/>
    <row r="214" ht="14.25" customHeight="1" x14ac:dyDescent="0.35"/>
    <row r="215" ht="14.25" customHeight="1" x14ac:dyDescent="0.35"/>
    <row r="216" ht="14.25" customHeight="1" x14ac:dyDescent="0.35"/>
    <row r="217" ht="14.25" customHeight="1" x14ac:dyDescent="0.35"/>
    <row r="218" ht="14.25" customHeight="1" x14ac:dyDescent="0.35"/>
    <row r="219" ht="14.25" customHeight="1" x14ac:dyDescent="0.35"/>
    <row r="220" ht="14.25" customHeight="1" x14ac:dyDescent="0.35"/>
    <row r="221" ht="14.25" customHeight="1" x14ac:dyDescent="0.35"/>
    <row r="222" ht="14.25" customHeight="1" x14ac:dyDescent="0.35"/>
    <row r="223" ht="14.25" customHeight="1" x14ac:dyDescent="0.35"/>
    <row r="224" ht="14.25" customHeight="1" x14ac:dyDescent="0.35"/>
    <row r="225" ht="14.25" customHeight="1" x14ac:dyDescent="0.35"/>
    <row r="226" ht="14.25" customHeight="1" x14ac:dyDescent="0.35"/>
    <row r="227" ht="14.25" customHeight="1" x14ac:dyDescent="0.35"/>
    <row r="228" ht="14.25" customHeight="1" x14ac:dyDescent="0.35"/>
    <row r="229" ht="14.25" customHeight="1" x14ac:dyDescent="0.35"/>
    <row r="230" ht="14.25" customHeight="1" x14ac:dyDescent="0.35"/>
    <row r="231" ht="14.25" customHeight="1" x14ac:dyDescent="0.35"/>
    <row r="232" ht="14.25" customHeight="1" x14ac:dyDescent="0.35"/>
    <row r="233" ht="14.25" customHeight="1" x14ac:dyDescent="0.35"/>
    <row r="234" ht="14.25" customHeight="1" x14ac:dyDescent="0.35"/>
    <row r="235" ht="14.25" customHeight="1" x14ac:dyDescent="0.35"/>
    <row r="236" ht="14.25" customHeight="1" x14ac:dyDescent="0.35"/>
    <row r="237" ht="14.25" customHeight="1" x14ac:dyDescent="0.35"/>
    <row r="238" ht="14.25" customHeight="1" x14ac:dyDescent="0.35"/>
    <row r="239" ht="14.25" customHeight="1" x14ac:dyDescent="0.35"/>
    <row r="240" ht="14.25" customHeight="1" x14ac:dyDescent="0.35"/>
    <row r="241" ht="14.25" customHeight="1" x14ac:dyDescent="0.35"/>
    <row r="242" ht="14.25" customHeight="1" x14ac:dyDescent="0.35"/>
    <row r="243" ht="14.25" customHeight="1" x14ac:dyDescent="0.35"/>
    <row r="244" ht="14.25" customHeight="1" x14ac:dyDescent="0.35"/>
    <row r="245" ht="14.25" customHeight="1" x14ac:dyDescent="0.35"/>
    <row r="246" ht="14.25" customHeight="1" x14ac:dyDescent="0.35"/>
    <row r="247" ht="14.25" customHeight="1" x14ac:dyDescent="0.35"/>
    <row r="248" ht="14.25" customHeight="1" x14ac:dyDescent="0.35"/>
    <row r="249" ht="14.25" customHeight="1" x14ac:dyDescent="0.35"/>
    <row r="250" ht="14.25" customHeight="1" x14ac:dyDescent="0.35"/>
    <row r="251" ht="14.25" customHeight="1" x14ac:dyDescent="0.35"/>
    <row r="252" ht="14.25" customHeight="1" x14ac:dyDescent="0.35"/>
    <row r="253" ht="14.25" customHeight="1" x14ac:dyDescent="0.35"/>
    <row r="254" ht="14.25" customHeight="1" x14ac:dyDescent="0.35"/>
    <row r="255" ht="14.25" customHeight="1" x14ac:dyDescent="0.35"/>
    <row r="256" ht="14.25" customHeight="1" x14ac:dyDescent="0.35"/>
    <row r="257" ht="14.25" customHeight="1" x14ac:dyDescent="0.35"/>
    <row r="258" ht="14.25" customHeight="1" x14ac:dyDescent="0.35"/>
    <row r="259" ht="14.25" customHeight="1" x14ac:dyDescent="0.35"/>
    <row r="260" ht="14.25" customHeight="1" x14ac:dyDescent="0.35"/>
    <row r="261" ht="14.25" customHeight="1" x14ac:dyDescent="0.35"/>
    <row r="262" ht="14.25" customHeight="1" x14ac:dyDescent="0.35"/>
    <row r="263" ht="14.25" customHeight="1" x14ac:dyDescent="0.35"/>
    <row r="264" ht="14.25" customHeight="1" x14ac:dyDescent="0.35"/>
    <row r="265" ht="14.25" customHeight="1" x14ac:dyDescent="0.35"/>
    <row r="266" ht="14.25" customHeight="1" x14ac:dyDescent="0.35"/>
    <row r="267" ht="14.25" customHeight="1" x14ac:dyDescent="0.35"/>
    <row r="268" ht="14.25" customHeight="1" x14ac:dyDescent="0.35"/>
    <row r="269" ht="14.25" customHeight="1" x14ac:dyDescent="0.35"/>
    <row r="270" ht="14.25" customHeight="1" x14ac:dyDescent="0.35"/>
    <row r="271" ht="14.25" customHeight="1" x14ac:dyDescent="0.35"/>
    <row r="272" ht="14.25" customHeight="1" x14ac:dyDescent="0.35"/>
    <row r="273" ht="14.25" customHeight="1" x14ac:dyDescent="0.35"/>
    <row r="274" ht="14.25" customHeight="1" x14ac:dyDescent="0.35"/>
    <row r="275" ht="14.25" customHeight="1" x14ac:dyDescent="0.35"/>
    <row r="276" ht="14.25" customHeight="1" x14ac:dyDescent="0.35"/>
    <row r="277" ht="14.25" customHeight="1" x14ac:dyDescent="0.35"/>
    <row r="278" ht="14.25" customHeight="1" x14ac:dyDescent="0.35"/>
    <row r="279" ht="14.25" customHeight="1" x14ac:dyDescent="0.35"/>
    <row r="280" ht="14.25" customHeight="1" x14ac:dyDescent="0.35"/>
    <row r="281" ht="14.25" customHeight="1" x14ac:dyDescent="0.35"/>
    <row r="282" ht="14.25" customHeight="1" x14ac:dyDescent="0.35"/>
    <row r="283" ht="14.25" customHeight="1" x14ac:dyDescent="0.35"/>
    <row r="284" ht="14.25" customHeight="1" x14ac:dyDescent="0.35"/>
    <row r="285" ht="14.25" customHeight="1" x14ac:dyDescent="0.35"/>
    <row r="286" ht="14.25" customHeight="1" x14ac:dyDescent="0.35"/>
    <row r="287" ht="14.25" customHeight="1" x14ac:dyDescent="0.35"/>
    <row r="288" ht="14.25" customHeight="1" x14ac:dyDescent="0.35"/>
    <row r="289" ht="14.25" customHeight="1" x14ac:dyDescent="0.35"/>
    <row r="290" ht="14.25" customHeight="1" x14ac:dyDescent="0.35"/>
    <row r="291" ht="14.25" customHeight="1" x14ac:dyDescent="0.35"/>
    <row r="292" ht="14.25" customHeight="1" x14ac:dyDescent="0.35"/>
    <row r="293" ht="14.25" customHeight="1" x14ac:dyDescent="0.35"/>
    <row r="294" ht="14.25" customHeight="1" x14ac:dyDescent="0.35"/>
    <row r="295" ht="14.25" customHeight="1" x14ac:dyDescent="0.35"/>
    <row r="296" ht="14.25" customHeight="1" x14ac:dyDescent="0.35"/>
    <row r="297" ht="14.25" customHeight="1" x14ac:dyDescent="0.35"/>
    <row r="298" ht="14.25" customHeight="1" x14ac:dyDescent="0.35"/>
    <row r="299" ht="14.25" customHeight="1" x14ac:dyDescent="0.35"/>
    <row r="300" ht="14.25" customHeight="1" x14ac:dyDescent="0.35"/>
    <row r="301" ht="14.25" customHeight="1" x14ac:dyDescent="0.35"/>
    <row r="302" ht="14.25" customHeight="1" x14ac:dyDescent="0.35"/>
    <row r="303" ht="14.25" customHeight="1" x14ac:dyDescent="0.35"/>
    <row r="304" ht="14.25" customHeight="1" x14ac:dyDescent="0.35"/>
    <row r="305" ht="14.25" customHeight="1" x14ac:dyDescent="0.35"/>
    <row r="306" ht="14.25" customHeight="1" x14ac:dyDescent="0.35"/>
    <row r="307" ht="14.25" customHeight="1" x14ac:dyDescent="0.35"/>
    <row r="308" ht="14.25" customHeight="1" x14ac:dyDescent="0.35"/>
    <row r="309" ht="14.25" customHeight="1" x14ac:dyDescent="0.35"/>
    <row r="310" ht="14.25" customHeight="1" x14ac:dyDescent="0.35"/>
    <row r="311" ht="14.25" customHeight="1" x14ac:dyDescent="0.35"/>
    <row r="312" ht="14.25" customHeight="1" x14ac:dyDescent="0.35"/>
    <row r="313" ht="14.25" customHeight="1" x14ac:dyDescent="0.35"/>
    <row r="314" ht="14.25" customHeight="1" x14ac:dyDescent="0.35"/>
    <row r="315" ht="14.25" customHeight="1" x14ac:dyDescent="0.35"/>
    <row r="316" ht="14.25" customHeight="1" x14ac:dyDescent="0.35"/>
    <row r="317" ht="14.25" customHeight="1" x14ac:dyDescent="0.35"/>
    <row r="318" ht="14.25" customHeight="1" x14ac:dyDescent="0.35"/>
    <row r="319" ht="14.25" customHeight="1" x14ac:dyDescent="0.35"/>
    <row r="320" ht="14.25" customHeight="1" x14ac:dyDescent="0.35"/>
    <row r="321" ht="14.25" customHeight="1" x14ac:dyDescent="0.35"/>
    <row r="322" ht="14.25" customHeight="1" x14ac:dyDescent="0.35"/>
    <row r="323" ht="14.25" customHeight="1" x14ac:dyDescent="0.35"/>
    <row r="324" ht="14.25" customHeight="1" x14ac:dyDescent="0.35"/>
    <row r="325" ht="14.25" customHeight="1" x14ac:dyDescent="0.35"/>
    <row r="326" ht="14.25" customHeight="1" x14ac:dyDescent="0.35"/>
    <row r="327" ht="14.25" customHeight="1" x14ac:dyDescent="0.35"/>
    <row r="328" ht="14.25" customHeight="1" x14ac:dyDescent="0.35"/>
    <row r="329" ht="14.25" customHeight="1" x14ac:dyDescent="0.35"/>
    <row r="330" ht="14.25" customHeight="1" x14ac:dyDescent="0.35"/>
    <row r="331" ht="14.25" customHeight="1" x14ac:dyDescent="0.35"/>
    <row r="332" ht="14.25" customHeight="1" x14ac:dyDescent="0.35"/>
    <row r="333" ht="14.25" customHeight="1" x14ac:dyDescent="0.35"/>
    <row r="334" ht="14.25" customHeight="1" x14ac:dyDescent="0.35"/>
    <row r="335" ht="14.25" customHeight="1" x14ac:dyDescent="0.35"/>
    <row r="336" ht="14.25" customHeight="1" x14ac:dyDescent="0.35"/>
    <row r="337" ht="14.25" customHeight="1" x14ac:dyDescent="0.35"/>
    <row r="338" ht="14.25" customHeight="1" x14ac:dyDescent="0.35"/>
    <row r="339" ht="14.25" customHeight="1" x14ac:dyDescent="0.35"/>
    <row r="340" ht="14.25" customHeight="1" x14ac:dyDescent="0.35"/>
    <row r="341" ht="14.25" customHeight="1" x14ac:dyDescent="0.35"/>
    <row r="342" ht="14.25" customHeight="1" x14ac:dyDescent="0.35"/>
    <row r="343" ht="14.25" customHeight="1" x14ac:dyDescent="0.35"/>
    <row r="344" ht="14.25" customHeight="1" x14ac:dyDescent="0.35"/>
    <row r="345" ht="14.25" customHeight="1" x14ac:dyDescent="0.35"/>
    <row r="346" ht="14.25" customHeight="1" x14ac:dyDescent="0.35"/>
    <row r="347" ht="14.25" customHeight="1" x14ac:dyDescent="0.35"/>
    <row r="348" ht="14.25" customHeight="1" x14ac:dyDescent="0.35"/>
    <row r="349" ht="14.25" customHeight="1" x14ac:dyDescent="0.35"/>
    <row r="350" ht="14.25" customHeight="1" x14ac:dyDescent="0.35"/>
    <row r="351" ht="14.25" customHeight="1" x14ac:dyDescent="0.35"/>
    <row r="352" ht="14.25" customHeight="1" x14ac:dyDescent="0.35"/>
    <row r="353" ht="14.25" customHeight="1" x14ac:dyDescent="0.35"/>
    <row r="354" ht="14.25" customHeight="1" x14ac:dyDescent="0.35"/>
    <row r="355" ht="14.25" customHeight="1" x14ac:dyDescent="0.35"/>
    <row r="356" ht="14.25" customHeight="1" x14ac:dyDescent="0.35"/>
    <row r="357" ht="14.25" customHeight="1" x14ac:dyDescent="0.35"/>
    <row r="358" ht="14.25" customHeight="1" x14ac:dyDescent="0.35"/>
    <row r="359" ht="14.25" customHeight="1" x14ac:dyDescent="0.35"/>
    <row r="360" ht="14.25" customHeight="1" x14ac:dyDescent="0.35"/>
    <row r="361" ht="14.25" customHeight="1" x14ac:dyDescent="0.35"/>
    <row r="362" ht="14.25" customHeight="1" x14ac:dyDescent="0.35"/>
    <row r="363" ht="14.25" customHeight="1" x14ac:dyDescent="0.35"/>
    <row r="364" ht="14.25" customHeight="1" x14ac:dyDescent="0.35"/>
    <row r="365" ht="14.25" customHeight="1" x14ac:dyDescent="0.35"/>
    <row r="366" ht="14.25" customHeight="1" x14ac:dyDescent="0.35"/>
    <row r="367" ht="14.25" customHeight="1" x14ac:dyDescent="0.35"/>
    <row r="368" ht="14.25" customHeight="1" x14ac:dyDescent="0.35"/>
    <row r="369" ht="14.25" customHeight="1" x14ac:dyDescent="0.35"/>
    <row r="370" ht="14.25" customHeight="1" x14ac:dyDescent="0.35"/>
    <row r="371" ht="14.25" customHeight="1" x14ac:dyDescent="0.35"/>
    <row r="372" ht="14.25" customHeight="1" x14ac:dyDescent="0.35"/>
    <row r="373" ht="14.25" customHeight="1" x14ac:dyDescent="0.35"/>
    <row r="374" ht="14.25" customHeight="1" x14ac:dyDescent="0.35"/>
    <row r="375" ht="14.25" customHeight="1" x14ac:dyDescent="0.35"/>
    <row r="376" ht="14.25" customHeight="1" x14ac:dyDescent="0.35"/>
    <row r="377" ht="14.25" customHeight="1" x14ac:dyDescent="0.35"/>
    <row r="378" ht="14.25" customHeight="1" x14ac:dyDescent="0.35"/>
    <row r="379" ht="14.25" customHeight="1" x14ac:dyDescent="0.35"/>
    <row r="380" ht="14.25" customHeight="1" x14ac:dyDescent="0.35"/>
    <row r="381" ht="14.25" customHeight="1" x14ac:dyDescent="0.35"/>
    <row r="382" ht="14.25" customHeight="1" x14ac:dyDescent="0.35"/>
    <row r="383" ht="14.25" customHeight="1" x14ac:dyDescent="0.35"/>
    <row r="384" ht="14.25" customHeight="1" x14ac:dyDescent="0.35"/>
    <row r="385" ht="14.25" customHeight="1" x14ac:dyDescent="0.35"/>
    <row r="386" ht="14.25" customHeight="1" x14ac:dyDescent="0.35"/>
    <row r="387" ht="14.25" customHeight="1" x14ac:dyDescent="0.35"/>
    <row r="388" ht="14.25" customHeight="1" x14ac:dyDescent="0.35"/>
    <row r="389" ht="14.25" customHeight="1" x14ac:dyDescent="0.35"/>
    <row r="390" ht="14.25" customHeight="1" x14ac:dyDescent="0.35"/>
    <row r="391" ht="14.25" customHeight="1" x14ac:dyDescent="0.35"/>
    <row r="392" ht="14.25" customHeight="1" x14ac:dyDescent="0.35"/>
    <row r="393" ht="14.25" customHeight="1" x14ac:dyDescent="0.35"/>
    <row r="394" ht="14.25" customHeight="1" x14ac:dyDescent="0.35"/>
    <row r="395" ht="14.25" customHeight="1" x14ac:dyDescent="0.35"/>
    <row r="396" ht="14.25" customHeight="1" x14ac:dyDescent="0.35"/>
    <row r="397" ht="14.25" customHeight="1" x14ac:dyDescent="0.35"/>
    <row r="398" ht="14.25" customHeight="1" x14ac:dyDescent="0.35"/>
    <row r="399" ht="14.25" customHeight="1" x14ac:dyDescent="0.35"/>
    <row r="400" ht="14.25" customHeight="1" x14ac:dyDescent="0.35"/>
    <row r="401" ht="14.25" customHeight="1" x14ac:dyDescent="0.35"/>
    <row r="402" ht="14.25" customHeight="1" x14ac:dyDescent="0.35"/>
    <row r="403" ht="14.25" customHeight="1" x14ac:dyDescent="0.35"/>
    <row r="404" ht="14.25" customHeight="1" x14ac:dyDescent="0.35"/>
    <row r="405" ht="14.25" customHeight="1" x14ac:dyDescent="0.35"/>
    <row r="406" ht="14.25" customHeight="1" x14ac:dyDescent="0.35"/>
    <row r="407" ht="14.25" customHeight="1" x14ac:dyDescent="0.35"/>
    <row r="408" ht="14.25" customHeight="1" x14ac:dyDescent="0.35"/>
    <row r="409" ht="14.25" customHeight="1" x14ac:dyDescent="0.35"/>
    <row r="410" ht="14.25" customHeight="1" x14ac:dyDescent="0.35"/>
    <row r="411" ht="14.25" customHeight="1" x14ac:dyDescent="0.35"/>
    <row r="412" ht="14.25" customHeight="1" x14ac:dyDescent="0.35"/>
    <row r="413" ht="14.25" customHeight="1" x14ac:dyDescent="0.35"/>
    <row r="414" ht="14.25" customHeight="1" x14ac:dyDescent="0.35"/>
    <row r="415" ht="14.25" customHeight="1" x14ac:dyDescent="0.35"/>
    <row r="416" ht="14.25" customHeight="1" x14ac:dyDescent="0.35"/>
    <row r="417" ht="14.25" customHeight="1" x14ac:dyDescent="0.35"/>
    <row r="418" ht="14.25" customHeight="1" x14ac:dyDescent="0.35"/>
    <row r="419" ht="14.25" customHeight="1" x14ac:dyDescent="0.35"/>
    <row r="420" ht="14.25" customHeight="1" x14ac:dyDescent="0.35"/>
    <row r="421" ht="14.25" customHeight="1" x14ac:dyDescent="0.35"/>
    <row r="422" ht="14.25" customHeight="1" x14ac:dyDescent="0.35"/>
    <row r="423" ht="14.25" customHeight="1" x14ac:dyDescent="0.35"/>
    <row r="424" ht="14.25" customHeight="1" x14ac:dyDescent="0.35"/>
    <row r="425" ht="14.25" customHeight="1" x14ac:dyDescent="0.35"/>
    <row r="426" ht="14.25" customHeight="1" x14ac:dyDescent="0.35"/>
    <row r="427" ht="14.25" customHeight="1" x14ac:dyDescent="0.35"/>
    <row r="428" ht="14.25" customHeight="1" x14ac:dyDescent="0.35"/>
    <row r="429" ht="14.25" customHeight="1" x14ac:dyDescent="0.35"/>
    <row r="430" ht="14.25" customHeight="1" x14ac:dyDescent="0.35"/>
    <row r="431" ht="14.25" customHeight="1" x14ac:dyDescent="0.35"/>
    <row r="432" ht="14.25" customHeight="1" x14ac:dyDescent="0.35"/>
    <row r="433" ht="14.25" customHeight="1" x14ac:dyDescent="0.35"/>
    <row r="434" ht="14.25" customHeight="1" x14ac:dyDescent="0.35"/>
    <row r="435" ht="14.25" customHeight="1" x14ac:dyDescent="0.35"/>
    <row r="436" ht="14.25" customHeight="1" x14ac:dyDescent="0.35"/>
    <row r="437" ht="14.25" customHeight="1" x14ac:dyDescent="0.35"/>
    <row r="438" ht="14.25" customHeight="1" x14ac:dyDescent="0.35"/>
    <row r="439" ht="14.25" customHeight="1" x14ac:dyDescent="0.35"/>
    <row r="440" ht="14.25" customHeight="1" x14ac:dyDescent="0.35"/>
    <row r="441" ht="14.25" customHeight="1" x14ac:dyDescent="0.35"/>
    <row r="442" ht="14.25" customHeight="1" x14ac:dyDescent="0.35"/>
    <row r="443" ht="14.25" customHeight="1" x14ac:dyDescent="0.35"/>
    <row r="444" ht="14.25" customHeight="1" x14ac:dyDescent="0.35"/>
    <row r="445" ht="14.25" customHeight="1" x14ac:dyDescent="0.35"/>
    <row r="446" ht="14.25" customHeight="1" x14ac:dyDescent="0.35"/>
    <row r="447" ht="14.25" customHeight="1" x14ac:dyDescent="0.35"/>
    <row r="448" ht="14.25" customHeight="1" x14ac:dyDescent="0.35"/>
    <row r="449" ht="14.25" customHeight="1" x14ac:dyDescent="0.35"/>
    <row r="450" ht="14.25" customHeight="1" x14ac:dyDescent="0.35"/>
    <row r="451" ht="14.25" customHeight="1" x14ac:dyDescent="0.35"/>
    <row r="452" ht="14.25" customHeight="1" x14ac:dyDescent="0.35"/>
    <row r="453" ht="14.25" customHeight="1" x14ac:dyDescent="0.35"/>
    <row r="454" ht="14.25" customHeight="1" x14ac:dyDescent="0.35"/>
    <row r="455" ht="14.25" customHeight="1" x14ac:dyDescent="0.35"/>
    <row r="456" ht="14.25" customHeight="1" x14ac:dyDescent="0.35"/>
    <row r="457" ht="14.25" customHeight="1" x14ac:dyDescent="0.35"/>
    <row r="458" ht="14.25" customHeight="1" x14ac:dyDescent="0.35"/>
    <row r="459" ht="14.25" customHeight="1" x14ac:dyDescent="0.35"/>
    <row r="460" ht="14.25" customHeight="1" x14ac:dyDescent="0.35"/>
    <row r="461" ht="14.25" customHeight="1" x14ac:dyDescent="0.35"/>
    <row r="462" ht="14.25" customHeight="1" x14ac:dyDescent="0.35"/>
    <row r="463" ht="14.25" customHeight="1" x14ac:dyDescent="0.35"/>
    <row r="464" ht="14.25" customHeight="1" x14ac:dyDescent="0.35"/>
    <row r="465" ht="14.25" customHeight="1" x14ac:dyDescent="0.35"/>
    <row r="466" ht="14.25" customHeight="1" x14ac:dyDescent="0.35"/>
    <row r="467" ht="14.25" customHeight="1" x14ac:dyDescent="0.35"/>
    <row r="468" ht="14.25" customHeight="1" x14ac:dyDescent="0.35"/>
    <row r="469" ht="14.25" customHeight="1" x14ac:dyDescent="0.35"/>
    <row r="470" ht="14.25" customHeight="1" x14ac:dyDescent="0.35"/>
    <row r="471" ht="14.25" customHeight="1" x14ac:dyDescent="0.35"/>
    <row r="472" ht="14.25" customHeight="1" x14ac:dyDescent="0.35"/>
    <row r="473" ht="14.25" customHeight="1" x14ac:dyDescent="0.35"/>
    <row r="474" ht="14.25" customHeight="1" x14ac:dyDescent="0.35"/>
    <row r="475" ht="14.25" customHeight="1" x14ac:dyDescent="0.35"/>
    <row r="476" ht="14.25" customHeight="1" x14ac:dyDescent="0.35"/>
    <row r="477" ht="14.25" customHeight="1" x14ac:dyDescent="0.35"/>
    <row r="478" ht="14.25" customHeight="1" x14ac:dyDescent="0.35"/>
    <row r="479" ht="14.25" customHeight="1" x14ac:dyDescent="0.35"/>
    <row r="480" ht="14.25" customHeight="1" x14ac:dyDescent="0.35"/>
    <row r="481" ht="14.25" customHeight="1" x14ac:dyDescent="0.35"/>
    <row r="482" ht="14.25" customHeight="1" x14ac:dyDescent="0.35"/>
    <row r="483" ht="14.25" customHeight="1" x14ac:dyDescent="0.35"/>
    <row r="484" ht="14.25" customHeight="1" x14ac:dyDescent="0.35"/>
    <row r="485" ht="14.25" customHeight="1" x14ac:dyDescent="0.35"/>
    <row r="486" ht="14.25" customHeight="1" x14ac:dyDescent="0.35"/>
    <row r="487" ht="14.25" customHeight="1" x14ac:dyDescent="0.35"/>
    <row r="488" ht="14.25" customHeight="1" x14ac:dyDescent="0.35"/>
    <row r="489" ht="14.25" customHeight="1" x14ac:dyDescent="0.35"/>
    <row r="490" ht="14.25" customHeight="1" x14ac:dyDescent="0.35"/>
    <row r="491" ht="14.25" customHeight="1" x14ac:dyDescent="0.35"/>
    <row r="492" ht="14.25" customHeight="1" x14ac:dyDescent="0.35"/>
    <row r="493" ht="14.25" customHeight="1" x14ac:dyDescent="0.35"/>
    <row r="494" ht="14.25" customHeight="1" x14ac:dyDescent="0.35"/>
    <row r="495" ht="14.25" customHeight="1" x14ac:dyDescent="0.35"/>
    <row r="496" ht="14.25" customHeight="1" x14ac:dyDescent="0.35"/>
    <row r="497" ht="14.25" customHeight="1" x14ac:dyDescent="0.35"/>
    <row r="498" ht="14.25" customHeight="1" x14ac:dyDescent="0.35"/>
    <row r="499" ht="14.25" customHeight="1" x14ac:dyDescent="0.35"/>
    <row r="500" ht="14.25" customHeight="1" x14ac:dyDescent="0.35"/>
    <row r="501" ht="14.25" customHeight="1" x14ac:dyDescent="0.35"/>
    <row r="502" ht="14.25" customHeight="1" x14ac:dyDescent="0.35"/>
    <row r="503" ht="14.25" customHeight="1" x14ac:dyDescent="0.35"/>
    <row r="504" ht="14.25" customHeight="1" x14ac:dyDescent="0.35"/>
    <row r="505" ht="14.25" customHeight="1" x14ac:dyDescent="0.35"/>
    <row r="506" ht="14.25" customHeight="1" x14ac:dyDescent="0.35"/>
    <row r="507" ht="14.25" customHeight="1" x14ac:dyDescent="0.35"/>
    <row r="508" ht="14.25" customHeight="1" x14ac:dyDescent="0.35"/>
    <row r="509" ht="14.25" customHeight="1" x14ac:dyDescent="0.35"/>
    <row r="510" ht="14.25" customHeight="1" x14ac:dyDescent="0.35"/>
    <row r="511" ht="14.25" customHeight="1" x14ac:dyDescent="0.35"/>
    <row r="512" ht="14.25" customHeight="1" x14ac:dyDescent="0.35"/>
    <row r="513" ht="14.25" customHeight="1" x14ac:dyDescent="0.35"/>
    <row r="514" ht="14.25" customHeight="1" x14ac:dyDescent="0.35"/>
    <row r="515" ht="14.25" customHeight="1" x14ac:dyDescent="0.35"/>
    <row r="516" ht="14.25" customHeight="1" x14ac:dyDescent="0.35"/>
    <row r="517" ht="14.25" customHeight="1" x14ac:dyDescent="0.35"/>
    <row r="518" ht="14.25" customHeight="1" x14ac:dyDescent="0.35"/>
    <row r="519" ht="14.25" customHeight="1" x14ac:dyDescent="0.35"/>
    <row r="520" ht="14.25" customHeight="1" x14ac:dyDescent="0.35"/>
    <row r="521" ht="14.25" customHeight="1" x14ac:dyDescent="0.35"/>
    <row r="522" ht="14.25" customHeight="1" x14ac:dyDescent="0.35"/>
    <row r="523" ht="14.25" customHeight="1" x14ac:dyDescent="0.35"/>
    <row r="524" ht="14.25" customHeight="1" x14ac:dyDescent="0.35"/>
    <row r="525" ht="14.25" customHeight="1" x14ac:dyDescent="0.35"/>
    <row r="526" ht="14.25" customHeight="1" x14ac:dyDescent="0.35"/>
    <row r="527" ht="14.25" customHeight="1" x14ac:dyDescent="0.35"/>
    <row r="528" ht="14.25" customHeight="1" x14ac:dyDescent="0.35"/>
    <row r="529" ht="14.25" customHeight="1" x14ac:dyDescent="0.35"/>
    <row r="530" ht="14.25" customHeight="1" x14ac:dyDescent="0.35"/>
    <row r="531" ht="14.25" customHeight="1" x14ac:dyDescent="0.35"/>
    <row r="532" ht="14.25" customHeight="1" x14ac:dyDescent="0.35"/>
    <row r="533" ht="14.25" customHeight="1" x14ac:dyDescent="0.35"/>
    <row r="534" ht="14.25" customHeight="1" x14ac:dyDescent="0.35"/>
    <row r="535" ht="14.25" customHeight="1" x14ac:dyDescent="0.35"/>
    <row r="536" ht="14.25" customHeight="1" x14ac:dyDescent="0.35"/>
    <row r="537" ht="14.25" customHeight="1" x14ac:dyDescent="0.35"/>
    <row r="538" ht="14.25" customHeight="1" x14ac:dyDescent="0.35"/>
    <row r="539" ht="14.25" customHeight="1" x14ac:dyDescent="0.35"/>
    <row r="540" ht="14.25" customHeight="1" x14ac:dyDescent="0.35"/>
    <row r="541" ht="14.25" customHeight="1" x14ac:dyDescent="0.35"/>
    <row r="542" ht="14.25" customHeight="1" x14ac:dyDescent="0.35"/>
    <row r="543" ht="14.25" customHeight="1" x14ac:dyDescent="0.35"/>
    <row r="544" ht="14.25" customHeight="1" x14ac:dyDescent="0.35"/>
    <row r="545" ht="14.25" customHeight="1" x14ac:dyDescent="0.35"/>
    <row r="546" ht="14.25" customHeight="1" x14ac:dyDescent="0.35"/>
    <row r="547" ht="14.25" customHeight="1" x14ac:dyDescent="0.35"/>
    <row r="548" ht="14.25" customHeight="1" x14ac:dyDescent="0.35"/>
    <row r="549" ht="14.25" customHeight="1" x14ac:dyDescent="0.35"/>
    <row r="550" ht="14.25" customHeight="1" x14ac:dyDescent="0.35"/>
    <row r="551" ht="14.25" customHeight="1" x14ac:dyDescent="0.35"/>
    <row r="552" ht="14.25" customHeight="1" x14ac:dyDescent="0.35"/>
    <row r="553" ht="14.25" customHeight="1" x14ac:dyDescent="0.35"/>
    <row r="554" ht="14.25" customHeight="1" x14ac:dyDescent="0.35"/>
    <row r="555" ht="14.25" customHeight="1" x14ac:dyDescent="0.35"/>
    <row r="556" ht="14.25" customHeight="1" x14ac:dyDescent="0.35"/>
    <row r="557" ht="14.25" customHeight="1" x14ac:dyDescent="0.35"/>
    <row r="558" ht="14.25" customHeight="1" x14ac:dyDescent="0.35"/>
    <row r="559" ht="14.25" customHeight="1" x14ac:dyDescent="0.35"/>
    <row r="560" ht="14.25" customHeight="1" x14ac:dyDescent="0.35"/>
    <row r="561" ht="14.25" customHeight="1" x14ac:dyDescent="0.35"/>
    <row r="562" ht="14.25" customHeight="1" x14ac:dyDescent="0.35"/>
    <row r="563" ht="14.25" customHeight="1" x14ac:dyDescent="0.35"/>
    <row r="564" ht="14.25" customHeight="1" x14ac:dyDescent="0.35"/>
    <row r="565" ht="14.25" customHeight="1" x14ac:dyDescent="0.35"/>
    <row r="566" ht="14.25" customHeight="1" x14ac:dyDescent="0.35"/>
    <row r="567" ht="14.25" customHeight="1" x14ac:dyDescent="0.35"/>
    <row r="568" ht="14.25" customHeight="1" x14ac:dyDescent="0.35"/>
    <row r="569" ht="14.25" customHeight="1" x14ac:dyDescent="0.35"/>
    <row r="570" ht="14.25" customHeight="1" x14ac:dyDescent="0.35"/>
    <row r="571" ht="14.25" customHeight="1" x14ac:dyDescent="0.35"/>
    <row r="572" ht="14.25" customHeight="1" x14ac:dyDescent="0.35"/>
    <row r="573" ht="14.25" customHeight="1" x14ac:dyDescent="0.35"/>
    <row r="574" ht="14.25" customHeight="1" x14ac:dyDescent="0.35"/>
    <row r="575" ht="14.25" customHeight="1" x14ac:dyDescent="0.35"/>
    <row r="576" ht="14.25" customHeight="1" x14ac:dyDescent="0.35"/>
    <row r="577" ht="14.25" customHeight="1" x14ac:dyDescent="0.35"/>
    <row r="578" ht="14.25" customHeight="1" x14ac:dyDescent="0.35"/>
    <row r="579" ht="14.25" customHeight="1" x14ac:dyDescent="0.35"/>
    <row r="580" ht="14.25" customHeight="1" x14ac:dyDescent="0.35"/>
    <row r="581" ht="14.25" customHeight="1" x14ac:dyDescent="0.35"/>
    <row r="582" ht="14.25" customHeight="1" x14ac:dyDescent="0.35"/>
    <row r="583" ht="14.25" customHeight="1" x14ac:dyDescent="0.35"/>
    <row r="584" ht="14.25" customHeight="1" x14ac:dyDescent="0.35"/>
    <row r="585" ht="14.25" customHeight="1" x14ac:dyDescent="0.35"/>
    <row r="586" ht="14.25" customHeight="1" x14ac:dyDescent="0.35"/>
    <row r="587" ht="14.25" customHeight="1" x14ac:dyDescent="0.35"/>
    <row r="588" ht="14.25" customHeight="1" x14ac:dyDescent="0.35"/>
    <row r="589" ht="14.25" customHeight="1" x14ac:dyDescent="0.35"/>
    <row r="590" ht="14.25" customHeight="1" x14ac:dyDescent="0.35"/>
    <row r="591" ht="14.25" customHeight="1" x14ac:dyDescent="0.35"/>
    <row r="592" ht="14.25" customHeight="1" x14ac:dyDescent="0.35"/>
    <row r="593" ht="14.25" customHeight="1" x14ac:dyDescent="0.35"/>
    <row r="594" ht="14.25" customHeight="1" x14ac:dyDescent="0.35"/>
    <row r="595" ht="14.25" customHeight="1" x14ac:dyDescent="0.35"/>
    <row r="596" ht="14.25" customHeight="1" x14ac:dyDescent="0.35"/>
    <row r="597" ht="14.25" customHeight="1" x14ac:dyDescent="0.35"/>
    <row r="598" ht="14.25" customHeight="1" x14ac:dyDescent="0.35"/>
    <row r="599" ht="14.25" customHeight="1" x14ac:dyDescent="0.35"/>
    <row r="600" ht="14.25" customHeight="1" x14ac:dyDescent="0.35"/>
    <row r="601" ht="14.25" customHeight="1" x14ac:dyDescent="0.35"/>
    <row r="602" ht="14.25" customHeight="1" x14ac:dyDescent="0.35"/>
    <row r="603" ht="14.25" customHeight="1" x14ac:dyDescent="0.35"/>
    <row r="604" ht="14.25" customHeight="1" x14ac:dyDescent="0.35"/>
    <row r="605" ht="14.25" customHeight="1" x14ac:dyDescent="0.35"/>
    <row r="606" ht="14.25" customHeight="1" x14ac:dyDescent="0.35"/>
    <row r="607" ht="14.25" customHeight="1" x14ac:dyDescent="0.35"/>
    <row r="608" ht="14.25" customHeight="1" x14ac:dyDescent="0.35"/>
    <row r="609" ht="14.25" customHeight="1" x14ac:dyDescent="0.35"/>
    <row r="610" ht="14.25" customHeight="1" x14ac:dyDescent="0.35"/>
    <row r="611" ht="14.25" customHeight="1" x14ac:dyDescent="0.35"/>
    <row r="612" ht="14.25" customHeight="1" x14ac:dyDescent="0.35"/>
    <row r="613" ht="14.25" customHeight="1" x14ac:dyDescent="0.35"/>
    <row r="614" ht="14.25" customHeight="1" x14ac:dyDescent="0.35"/>
    <row r="615" ht="14.25" customHeight="1" x14ac:dyDescent="0.35"/>
    <row r="616" ht="14.25" customHeight="1" x14ac:dyDescent="0.35"/>
    <row r="617" ht="14.25" customHeight="1" x14ac:dyDescent="0.35"/>
    <row r="618" ht="14.25" customHeight="1" x14ac:dyDescent="0.35"/>
    <row r="619" ht="14.25" customHeight="1" x14ac:dyDescent="0.35"/>
    <row r="620" ht="14.25" customHeight="1" x14ac:dyDescent="0.35"/>
    <row r="621" ht="14.25" customHeight="1" x14ac:dyDescent="0.35"/>
    <row r="622" ht="14.25" customHeight="1" x14ac:dyDescent="0.35"/>
    <row r="623" ht="14.25" customHeight="1" x14ac:dyDescent="0.35"/>
    <row r="624" ht="14.25" customHeight="1" x14ac:dyDescent="0.35"/>
    <row r="625" ht="14.25" customHeight="1" x14ac:dyDescent="0.35"/>
    <row r="626" ht="14.25" customHeight="1" x14ac:dyDescent="0.35"/>
    <row r="627" ht="14.25" customHeight="1" x14ac:dyDescent="0.35"/>
    <row r="628" ht="14.25" customHeight="1" x14ac:dyDescent="0.35"/>
    <row r="629" ht="14.25" customHeight="1" x14ac:dyDescent="0.35"/>
    <row r="630" ht="14.25" customHeight="1" x14ac:dyDescent="0.35"/>
    <row r="631" ht="14.25" customHeight="1" x14ac:dyDescent="0.35"/>
    <row r="632" ht="14.25" customHeight="1" x14ac:dyDescent="0.35"/>
    <row r="633" ht="14.25" customHeight="1" x14ac:dyDescent="0.35"/>
    <row r="634" ht="14.25" customHeight="1" x14ac:dyDescent="0.35"/>
    <row r="635" ht="14.25" customHeight="1" x14ac:dyDescent="0.35"/>
    <row r="636" ht="14.25" customHeight="1" x14ac:dyDescent="0.35"/>
    <row r="637" ht="14.25" customHeight="1" x14ac:dyDescent="0.35"/>
    <row r="638" ht="14.25" customHeight="1" x14ac:dyDescent="0.35"/>
    <row r="639" ht="14.25" customHeight="1" x14ac:dyDescent="0.35"/>
    <row r="640" ht="14.25" customHeight="1" x14ac:dyDescent="0.35"/>
    <row r="641" ht="14.25" customHeight="1" x14ac:dyDescent="0.35"/>
    <row r="642" ht="14.25" customHeight="1" x14ac:dyDescent="0.35"/>
    <row r="643" ht="14.25" customHeight="1" x14ac:dyDescent="0.35"/>
    <row r="644" ht="14.25" customHeight="1" x14ac:dyDescent="0.35"/>
    <row r="645" ht="14.25" customHeight="1" x14ac:dyDescent="0.35"/>
    <row r="646" ht="14.25" customHeight="1" x14ac:dyDescent="0.35"/>
    <row r="647" ht="14.25" customHeight="1" x14ac:dyDescent="0.35"/>
    <row r="648" ht="14.25" customHeight="1" x14ac:dyDescent="0.35"/>
    <row r="649" ht="14.25" customHeight="1" x14ac:dyDescent="0.35"/>
    <row r="650" ht="14.25" customHeight="1" x14ac:dyDescent="0.35"/>
    <row r="651" ht="14.25" customHeight="1" x14ac:dyDescent="0.35"/>
    <row r="652" ht="14.25" customHeight="1" x14ac:dyDescent="0.35"/>
    <row r="653" ht="14.25" customHeight="1" x14ac:dyDescent="0.35"/>
    <row r="654" ht="14.25" customHeight="1" x14ac:dyDescent="0.35"/>
    <row r="655" ht="14.25" customHeight="1" x14ac:dyDescent="0.35"/>
    <row r="656" ht="14.25" customHeight="1" x14ac:dyDescent="0.35"/>
    <row r="657" ht="14.25" customHeight="1" x14ac:dyDescent="0.35"/>
    <row r="658" ht="14.25" customHeight="1" x14ac:dyDescent="0.35"/>
    <row r="659" ht="14.25" customHeight="1" x14ac:dyDescent="0.35"/>
    <row r="660" ht="14.25" customHeight="1" x14ac:dyDescent="0.35"/>
    <row r="661" ht="14.25" customHeight="1" x14ac:dyDescent="0.35"/>
    <row r="662" ht="14.25" customHeight="1" x14ac:dyDescent="0.35"/>
    <row r="663" ht="14.25" customHeight="1" x14ac:dyDescent="0.35"/>
    <row r="664" ht="14.25" customHeight="1" x14ac:dyDescent="0.35"/>
    <row r="665" ht="14.25" customHeight="1" x14ac:dyDescent="0.35"/>
    <row r="666" ht="14.25" customHeight="1" x14ac:dyDescent="0.35"/>
    <row r="667" ht="14.25" customHeight="1" x14ac:dyDescent="0.35"/>
    <row r="668" ht="14.25" customHeight="1" x14ac:dyDescent="0.35"/>
    <row r="669" ht="14.25" customHeight="1" x14ac:dyDescent="0.35"/>
    <row r="670" ht="14.25" customHeight="1" x14ac:dyDescent="0.35"/>
    <row r="671" ht="14.25" customHeight="1" x14ac:dyDescent="0.35"/>
    <row r="672" ht="14.25" customHeight="1" x14ac:dyDescent="0.35"/>
    <row r="673" ht="14.25" customHeight="1" x14ac:dyDescent="0.35"/>
    <row r="674" ht="14.25" customHeight="1" x14ac:dyDescent="0.35"/>
    <row r="675" ht="14.25" customHeight="1" x14ac:dyDescent="0.35"/>
    <row r="676" ht="14.25" customHeight="1" x14ac:dyDescent="0.35"/>
    <row r="677" ht="14.25" customHeight="1" x14ac:dyDescent="0.35"/>
    <row r="678" ht="14.25" customHeight="1" x14ac:dyDescent="0.35"/>
    <row r="679" ht="14.25" customHeight="1" x14ac:dyDescent="0.35"/>
    <row r="680" ht="14.25" customHeight="1" x14ac:dyDescent="0.35"/>
    <row r="681" ht="14.25" customHeight="1" x14ac:dyDescent="0.35"/>
    <row r="682" ht="14.25" customHeight="1" x14ac:dyDescent="0.35"/>
    <row r="683" ht="14.25" customHeight="1" x14ac:dyDescent="0.35"/>
    <row r="684" ht="14.25" customHeight="1" x14ac:dyDescent="0.35"/>
    <row r="685" ht="14.25" customHeight="1" x14ac:dyDescent="0.35"/>
    <row r="686" ht="14.25" customHeight="1" x14ac:dyDescent="0.35"/>
    <row r="687" ht="14.25" customHeight="1" x14ac:dyDescent="0.35"/>
    <row r="688" ht="14.25" customHeight="1" x14ac:dyDescent="0.35"/>
    <row r="689" ht="14.25" customHeight="1" x14ac:dyDescent="0.35"/>
    <row r="690" ht="14.25" customHeight="1" x14ac:dyDescent="0.35"/>
    <row r="691" ht="14.25" customHeight="1" x14ac:dyDescent="0.35"/>
    <row r="692" ht="14.25" customHeight="1" x14ac:dyDescent="0.35"/>
    <row r="693" ht="14.25" customHeight="1" x14ac:dyDescent="0.35"/>
    <row r="694" ht="14.25" customHeight="1" x14ac:dyDescent="0.35"/>
    <row r="695" ht="14.25" customHeight="1" x14ac:dyDescent="0.35"/>
    <row r="696" ht="14.25" customHeight="1" x14ac:dyDescent="0.35"/>
    <row r="697" ht="14.25" customHeight="1" x14ac:dyDescent="0.35"/>
    <row r="698" ht="14.25" customHeight="1" x14ac:dyDescent="0.35"/>
    <row r="699" ht="14.25" customHeight="1" x14ac:dyDescent="0.35"/>
    <row r="700" ht="14.25" customHeight="1" x14ac:dyDescent="0.35"/>
    <row r="701" ht="14.25" customHeight="1" x14ac:dyDescent="0.35"/>
    <row r="702" ht="14.25" customHeight="1" x14ac:dyDescent="0.35"/>
    <row r="703" ht="14.25" customHeight="1" x14ac:dyDescent="0.35"/>
    <row r="704" ht="14.25" customHeight="1" x14ac:dyDescent="0.35"/>
    <row r="705" ht="14.25" customHeight="1" x14ac:dyDescent="0.35"/>
    <row r="706" ht="14.25" customHeight="1" x14ac:dyDescent="0.35"/>
    <row r="707" ht="14.25" customHeight="1" x14ac:dyDescent="0.35"/>
    <row r="708" ht="14.25" customHeight="1" x14ac:dyDescent="0.35"/>
    <row r="709" ht="14.25" customHeight="1" x14ac:dyDescent="0.35"/>
    <row r="710" ht="14.25" customHeight="1" x14ac:dyDescent="0.35"/>
    <row r="711" ht="14.25" customHeight="1" x14ac:dyDescent="0.35"/>
    <row r="712" ht="14.25" customHeight="1" x14ac:dyDescent="0.35"/>
    <row r="713" ht="14.25" customHeight="1" x14ac:dyDescent="0.35"/>
    <row r="714" ht="14.25" customHeight="1" x14ac:dyDescent="0.35"/>
    <row r="715" ht="14.25" customHeight="1" x14ac:dyDescent="0.35"/>
    <row r="716" ht="14.25" customHeight="1" x14ac:dyDescent="0.35"/>
    <row r="717" ht="14.25" customHeight="1" x14ac:dyDescent="0.35"/>
    <row r="718" ht="14.25" customHeight="1" x14ac:dyDescent="0.35"/>
    <row r="719" ht="14.25" customHeight="1" x14ac:dyDescent="0.35"/>
    <row r="720" ht="14.25" customHeight="1" x14ac:dyDescent="0.35"/>
    <row r="721" ht="14.25" customHeight="1" x14ac:dyDescent="0.35"/>
    <row r="722" ht="14.25" customHeight="1" x14ac:dyDescent="0.35"/>
    <row r="723" ht="14.25" customHeight="1" x14ac:dyDescent="0.35"/>
    <row r="724" ht="14.25" customHeight="1" x14ac:dyDescent="0.35"/>
    <row r="725" ht="14.25" customHeight="1" x14ac:dyDescent="0.35"/>
    <row r="726" ht="14.25" customHeight="1" x14ac:dyDescent="0.35"/>
    <row r="727" ht="14.25" customHeight="1" x14ac:dyDescent="0.35"/>
    <row r="728" ht="14.25" customHeight="1" x14ac:dyDescent="0.35"/>
    <row r="729" ht="14.25" customHeight="1" x14ac:dyDescent="0.35"/>
    <row r="730" ht="14.25" customHeight="1" x14ac:dyDescent="0.35"/>
    <row r="731" ht="14.25" customHeight="1" x14ac:dyDescent="0.35"/>
    <row r="732" ht="14.25" customHeight="1" x14ac:dyDescent="0.35"/>
    <row r="733" ht="14.25" customHeight="1" x14ac:dyDescent="0.35"/>
    <row r="734" ht="14.25" customHeight="1" x14ac:dyDescent="0.35"/>
    <row r="735" ht="14.25" customHeight="1" x14ac:dyDescent="0.35"/>
    <row r="736" ht="14.25" customHeight="1" x14ac:dyDescent="0.35"/>
    <row r="737" ht="14.25" customHeight="1" x14ac:dyDescent="0.35"/>
    <row r="738" ht="14.25" customHeight="1" x14ac:dyDescent="0.35"/>
    <row r="739" ht="14.25" customHeight="1" x14ac:dyDescent="0.35"/>
    <row r="740" ht="14.25" customHeight="1" x14ac:dyDescent="0.35"/>
    <row r="741" ht="14.25" customHeight="1" x14ac:dyDescent="0.35"/>
    <row r="742" ht="14.25" customHeight="1" x14ac:dyDescent="0.35"/>
    <row r="743" ht="14.25" customHeight="1" x14ac:dyDescent="0.35"/>
    <row r="744" ht="14.25" customHeight="1" x14ac:dyDescent="0.35"/>
    <row r="745" ht="14.25" customHeight="1" x14ac:dyDescent="0.35"/>
    <row r="746" ht="14.25" customHeight="1" x14ac:dyDescent="0.35"/>
    <row r="747" ht="14.25" customHeight="1" x14ac:dyDescent="0.35"/>
    <row r="748" ht="14.25" customHeight="1" x14ac:dyDescent="0.35"/>
    <row r="749" ht="14.25" customHeight="1" x14ac:dyDescent="0.35"/>
    <row r="750" ht="14.25" customHeight="1" x14ac:dyDescent="0.35"/>
    <row r="751" ht="14.25" customHeight="1" x14ac:dyDescent="0.35"/>
    <row r="752" ht="14.25" customHeight="1" x14ac:dyDescent="0.35"/>
    <row r="753" ht="14.25" customHeight="1" x14ac:dyDescent="0.35"/>
    <row r="754" ht="14.25" customHeight="1" x14ac:dyDescent="0.35"/>
    <row r="755" ht="14.25" customHeight="1" x14ac:dyDescent="0.35"/>
    <row r="756" ht="14.25" customHeight="1" x14ac:dyDescent="0.35"/>
    <row r="757" ht="14.25" customHeight="1" x14ac:dyDescent="0.35"/>
    <row r="758" ht="14.25" customHeight="1" x14ac:dyDescent="0.35"/>
    <row r="759" ht="14.25" customHeight="1" x14ac:dyDescent="0.35"/>
    <row r="760" ht="14.25" customHeight="1" x14ac:dyDescent="0.35"/>
    <row r="761" ht="14.25" customHeight="1" x14ac:dyDescent="0.35"/>
    <row r="762" ht="14.25" customHeight="1" x14ac:dyDescent="0.35"/>
    <row r="763" ht="14.25" customHeight="1" x14ac:dyDescent="0.35"/>
    <row r="764" ht="14.25" customHeight="1" x14ac:dyDescent="0.35"/>
    <row r="765" ht="14.25" customHeight="1" x14ac:dyDescent="0.35"/>
    <row r="766" ht="14.25" customHeight="1" x14ac:dyDescent="0.35"/>
    <row r="767" ht="14.25" customHeight="1" x14ac:dyDescent="0.35"/>
    <row r="768" ht="14.25" customHeight="1" x14ac:dyDescent="0.35"/>
    <row r="769" ht="14.25" customHeight="1" x14ac:dyDescent="0.35"/>
    <row r="770" ht="14.25" customHeight="1" x14ac:dyDescent="0.35"/>
    <row r="771" ht="14.25" customHeight="1" x14ac:dyDescent="0.35"/>
    <row r="772" ht="14.25" customHeight="1" x14ac:dyDescent="0.35"/>
    <row r="773" ht="14.25" customHeight="1" x14ac:dyDescent="0.35"/>
    <row r="774" ht="14.25" customHeight="1" x14ac:dyDescent="0.35"/>
    <row r="775" ht="14.25" customHeight="1" x14ac:dyDescent="0.35"/>
    <row r="776" ht="14.25" customHeight="1" x14ac:dyDescent="0.35"/>
    <row r="777" ht="14.25" customHeight="1" x14ac:dyDescent="0.35"/>
    <row r="778" ht="14.25" customHeight="1" x14ac:dyDescent="0.35"/>
    <row r="779" ht="14.25" customHeight="1" x14ac:dyDescent="0.35"/>
    <row r="780" ht="14.25" customHeight="1" x14ac:dyDescent="0.35"/>
    <row r="781" ht="14.25" customHeight="1" x14ac:dyDescent="0.35"/>
    <row r="782" ht="14.25" customHeight="1" x14ac:dyDescent="0.35"/>
    <row r="783" ht="14.25" customHeight="1" x14ac:dyDescent="0.35"/>
    <row r="784" ht="14.25" customHeight="1" x14ac:dyDescent="0.35"/>
    <row r="785" ht="14.25" customHeight="1" x14ac:dyDescent="0.35"/>
    <row r="786" ht="14.25" customHeight="1" x14ac:dyDescent="0.35"/>
    <row r="787" ht="14.25" customHeight="1" x14ac:dyDescent="0.35"/>
    <row r="788" ht="14.25" customHeight="1" x14ac:dyDescent="0.35"/>
    <row r="789" ht="14.25" customHeight="1" x14ac:dyDescent="0.35"/>
    <row r="790" ht="14.25" customHeight="1" x14ac:dyDescent="0.35"/>
    <row r="791" ht="14.25" customHeight="1" x14ac:dyDescent="0.35"/>
    <row r="792" ht="14.25" customHeight="1" x14ac:dyDescent="0.35"/>
    <row r="793" ht="14.25" customHeight="1" x14ac:dyDescent="0.35"/>
    <row r="794" ht="14.25" customHeight="1" x14ac:dyDescent="0.35"/>
    <row r="795" ht="14.25" customHeight="1" x14ac:dyDescent="0.35"/>
    <row r="796" ht="14.25" customHeight="1" x14ac:dyDescent="0.35"/>
    <row r="797" ht="14.25" customHeight="1" x14ac:dyDescent="0.35"/>
    <row r="798" ht="14.25" customHeight="1" x14ac:dyDescent="0.35"/>
    <row r="799" ht="14.25" customHeight="1" x14ac:dyDescent="0.35"/>
    <row r="800" ht="14.25" customHeight="1" x14ac:dyDescent="0.35"/>
    <row r="801" ht="14.25" customHeight="1" x14ac:dyDescent="0.35"/>
    <row r="802" ht="14.25" customHeight="1" x14ac:dyDescent="0.35"/>
    <row r="803" ht="14.25" customHeight="1" x14ac:dyDescent="0.35"/>
    <row r="804" ht="14.25" customHeight="1" x14ac:dyDescent="0.35"/>
    <row r="805" ht="14.25" customHeight="1" x14ac:dyDescent="0.35"/>
    <row r="806" ht="14.25" customHeight="1" x14ac:dyDescent="0.35"/>
    <row r="807" ht="14.25" customHeight="1" x14ac:dyDescent="0.35"/>
    <row r="808" ht="14.25" customHeight="1" x14ac:dyDescent="0.35"/>
    <row r="809" ht="14.25" customHeight="1" x14ac:dyDescent="0.35"/>
    <row r="810" ht="14.25" customHeight="1" x14ac:dyDescent="0.35"/>
    <row r="811" ht="14.25" customHeight="1" x14ac:dyDescent="0.35"/>
    <row r="812" ht="14.25" customHeight="1" x14ac:dyDescent="0.35"/>
    <row r="813" ht="14.25" customHeight="1" x14ac:dyDescent="0.35"/>
    <row r="814" ht="14.25" customHeight="1" x14ac:dyDescent="0.35"/>
    <row r="815" ht="14.25" customHeight="1" x14ac:dyDescent="0.35"/>
    <row r="816" ht="14.25" customHeight="1" x14ac:dyDescent="0.35"/>
    <row r="817" ht="14.25" customHeight="1" x14ac:dyDescent="0.35"/>
    <row r="818" ht="14.25" customHeight="1" x14ac:dyDescent="0.35"/>
    <row r="819" ht="14.25" customHeight="1" x14ac:dyDescent="0.35"/>
    <row r="820" ht="14.25" customHeight="1" x14ac:dyDescent="0.35"/>
    <row r="821" ht="14.25" customHeight="1" x14ac:dyDescent="0.35"/>
    <row r="822" ht="14.25" customHeight="1" x14ac:dyDescent="0.35"/>
    <row r="823" ht="14.25" customHeight="1" x14ac:dyDescent="0.35"/>
    <row r="824" ht="14.25" customHeight="1" x14ac:dyDescent="0.35"/>
    <row r="825" ht="14.25" customHeight="1" x14ac:dyDescent="0.35"/>
    <row r="826" ht="14.25" customHeight="1" x14ac:dyDescent="0.35"/>
    <row r="827" ht="14.25" customHeight="1" x14ac:dyDescent="0.35"/>
    <row r="828" ht="14.25" customHeight="1" x14ac:dyDescent="0.35"/>
    <row r="829" ht="14.25" customHeight="1" x14ac:dyDescent="0.35"/>
    <row r="830" ht="14.25" customHeight="1" x14ac:dyDescent="0.35"/>
    <row r="831" ht="14.25" customHeight="1" x14ac:dyDescent="0.35"/>
    <row r="832" ht="14.25" customHeight="1" x14ac:dyDescent="0.35"/>
    <row r="833" ht="14.25" customHeight="1" x14ac:dyDescent="0.35"/>
    <row r="834" ht="14.25" customHeight="1" x14ac:dyDescent="0.35"/>
    <row r="835" ht="14.25" customHeight="1" x14ac:dyDescent="0.35"/>
    <row r="836" ht="14.25" customHeight="1" x14ac:dyDescent="0.35"/>
    <row r="837" ht="14.25" customHeight="1" x14ac:dyDescent="0.35"/>
    <row r="838" ht="14.25" customHeight="1" x14ac:dyDescent="0.35"/>
    <row r="839" ht="14.25" customHeight="1" x14ac:dyDescent="0.35"/>
    <row r="840" ht="14.25" customHeight="1" x14ac:dyDescent="0.35"/>
    <row r="841" ht="14.25" customHeight="1" x14ac:dyDescent="0.35"/>
    <row r="842" ht="14.25" customHeight="1" x14ac:dyDescent="0.35"/>
    <row r="843" ht="14.25" customHeight="1" x14ac:dyDescent="0.35"/>
    <row r="844" ht="14.25" customHeight="1" x14ac:dyDescent="0.35"/>
    <row r="845" ht="14.25" customHeight="1" x14ac:dyDescent="0.35"/>
    <row r="846" ht="14.25" customHeight="1" x14ac:dyDescent="0.35"/>
    <row r="847" ht="14.25" customHeight="1" x14ac:dyDescent="0.35"/>
    <row r="848" ht="14.25" customHeight="1" x14ac:dyDescent="0.35"/>
    <row r="849" ht="14.25" customHeight="1" x14ac:dyDescent="0.35"/>
    <row r="850" ht="14.25" customHeight="1" x14ac:dyDescent="0.35"/>
    <row r="851" ht="14.25" customHeight="1" x14ac:dyDescent="0.35"/>
    <row r="852" ht="14.25" customHeight="1" x14ac:dyDescent="0.35"/>
    <row r="853" ht="14.25" customHeight="1" x14ac:dyDescent="0.35"/>
    <row r="854" ht="14.25" customHeight="1" x14ac:dyDescent="0.35"/>
    <row r="855" ht="14.25" customHeight="1" x14ac:dyDescent="0.35"/>
    <row r="856" ht="14.25" customHeight="1" x14ac:dyDescent="0.35"/>
    <row r="857" ht="14.25" customHeight="1" x14ac:dyDescent="0.35"/>
    <row r="858" ht="14.25" customHeight="1" x14ac:dyDescent="0.35"/>
    <row r="859" ht="14.25" customHeight="1" x14ac:dyDescent="0.35"/>
    <row r="860" ht="14.25" customHeight="1" x14ac:dyDescent="0.35"/>
    <row r="861" ht="14.25" customHeight="1" x14ac:dyDescent="0.35"/>
    <row r="862" ht="14.25" customHeight="1" x14ac:dyDescent="0.35"/>
    <row r="863" ht="14.25" customHeight="1" x14ac:dyDescent="0.35"/>
    <row r="864" ht="14.25" customHeight="1" x14ac:dyDescent="0.35"/>
    <row r="865" ht="14.25" customHeight="1" x14ac:dyDescent="0.35"/>
    <row r="866" ht="14.25" customHeight="1" x14ac:dyDescent="0.35"/>
    <row r="867" ht="14.25" customHeight="1" x14ac:dyDescent="0.35"/>
    <row r="868" ht="14.25" customHeight="1" x14ac:dyDescent="0.35"/>
    <row r="869" ht="14.25" customHeight="1" x14ac:dyDescent="0.35"/>
    <row r="870" ht="14.25" customHeight="1" x14ac:dyDescent="0.35"/>
    <row r="871" ht="14.25" customHeight="1" x14ac:dyDescent="0.35"/>
    <row r="872" ht="14.25" customHeight="1" x14ac:dyDescent="0.35"/>
    <row r="873" ht="14.25" customHeight="1" x14ac:dyDescent="0.35"/>
    <row r="874" ht="14.25" customHeight="1" x14ac:dyDescent="0.35"/>
    <row r="875" ht="14.25" customHeight="1" x14ac:dyDescent="0.35"/>
    <row r="876" ht="14.25" customHeight="1" x14ac:dyDescent="0.35"/>
    <row r="877" ht="14.25" customHeight="1" x14ac:dyDescent="0.35"/>
    <row r="878" ht="14.25" customHeight="1" x14ac:dyDescent="0.35"/>
    <row r="879" ht="14.25" customHeight="1" x14ac:dyDescent="0.35"/>
    <row r="880" ht="14.25" customHeight="1" x14ac:dyDescent="0.35"/>
    <row r="881" ht="14.25" customHeight="1" x14ac:dyDescent="0.35"/>
    <row r="882" ht="14.25" customHeight="1" x14ac:dyDescent="0.35"/>
    <row r="883" ht="14.25" customHeight="1" x14ac:dyDescent="0.35"/>
    <row r="884" ht="14.25" customHeight="1" x14ac:dyDescent="0.35"/>
    <row r="885" ht="14.25" customHeight="1" x14ac:dyDescent="0.35"/>
    <row r="886" ht="14.25" customHeight="1" x14ac:dyDescent="0.35"/>
    <row r="887" ht="14.25" customHeight="1" x14ac:dyDescent="0.35"/>
    <row r="888" ht="14.25" customHeight="1" x14ac:dyDescent="0.35"/>
    <row r="889" ht="14.25" customHeight="1" x14ac:dyDescent="0.35"/>
    <row r="890" ht="14.25" customHeight="1" x14ac:dyDescent="0.35"/>
    <row r="891" ht="14.25" customHeight="1" x14ac:dyDescent="0.35"/>
    <row r="892" ht="14.25" customHeight="1" x14ac:dyDescent="0.35"/>
    <row r="893" ht="14.25" customHeight="1" x14ac:dyDescent="0.35"/>
    <row r="894" ht="14.25" customHeight="1" x14ac:dyDescent="0.35"/>
    <row r="895" ht="14.25" customHeight="1" x14ac:dyDescent="0.35"/>
    <row r="896" ht="14.25" customHeight="1" x14ac:dyDescent="0.35"/>
    <row r="897" ht="14.25" customHeight="1" x14ac:dyDescent="0.35"/>
    <row r="898" ht="14.25" customHeight="1" x14ac:dyDescent="0.35"/>
    <row r="899" ht="14.25" customHeight="1" x14ac:dyDescent="0.35"/>
    <row r="900" ht="14.25" customHeight="1" x14ac:dyDescent="0.35"/>
    <row r="901" ht="14.25" customHeight="1" x14ac:dyDescent="0.35"/>
    <row r="902" ht="14.25" customHeight="1" x14ac:dyDescent="0.35"/>
    <row r="903" ht="14.25" customHeight="1" x14ac:dyDescent="0.35"/>
    <row r="904" ht="14.25" customHeight="1" x14ac:dyDescent="0.35"/>
    <row r="905" ht="14.25" customHeight="1" x14ac:dyDescent="0.35"/>
    <row r="906" ht="14.25" customHeight="1" x14ac:dyDescent="0.35"/>
    <row r="907" ht="14.25" customHeight="1" x14ac:dyDescent="0.35"/>
    <row r="908" ht="14.25" customHeight="1" x14ac:dyDescent="0.35"/>
    <row r="909" ht="14.25" customHeight="1" x14ac:dyDescent="0.35"/>
    <row r="910" ht="14.25" customHeight="1" x14ac:dyDescent="0.35"/>
    <row r="911" ht="14.25" customHeight="1" x14ac:dyDescent="0.35"/>
    <row r="912" ht="14.25" customHeight="1" x14ac:dyDescent="0.35"/>
    <row r="913" ht="14.25" customHeight="1" x14ac:dyDescent="0.35"/>
    <row r="914" ht="14.25" customHeight="1" x14ac:dyDescent="0.35"/>
    <row r="915" ht="14.25" customHeight="1" x14ac:dyDescent="0.35"/>
    <row r="916" ht="14.25" customHeight="1" x14ac:dyDescent="0.35"/>
    <row r="917" ht="14.25" customHeight="1" x14ac:dyDescent="0.35"/>
    <row r="918" ht="14.25" customHeight="1" x14ac:dyDescent="0.35"/>
    <row r="919" ht="14.25" customHeight="1" x14ac:dyDescent="0.35"/>
    <row r="920" ht="14.25" customHeight="1" x14ac:dyDescent="0.35"/>
    <row r="921" ht="14.25" customHeight="1" x14ac:dyDescent="0.35"/>
    <row r="922" ht="14.25" customHeight="1" x14ac:dyDescent="0.35"/>
    <row r="923" ht="14.25" customHeight="1" x14ac:dyDescent="0.35"/>
    <row r="924" ht="14.25" customHeight="1" x14ac:dyDescent="0.35"/>
    <row r="925" ht="14.25" customHeight="1" x14ac:dyDescent="0.35"/>
    <row r="926" ht="14.25" customHeight="1" x14ac:dyDescent="0.35"/>
    <row r="927" ht="14.25" customHeight="1" x14ac:dyDescent="0.35"/>
    <row r="928" ht="14.25" customHeight="1" x14ac:dyDescent="0.35"/>
    <row r="929" ht="14.25" customHeight="1" x14ac:dyDescent="0.35"/>
    <row r="930" ht="14.25" customHeight="1" x14ac:dyDescent="0.35"/>
    <row r="931" ht="14.25" customHeight="1" x14ac:dyDescent="0.35"/>
    <row r="932" ht="14.25" customHeight="1" x14ac:dyDescent="0.35"/>
    <row r="933" ht="14.25" customHeight="1" x14ac:dyDescent="0.35"/>
    <row r="934" ht="14.25" customHeight="1" x14ac:dyDescent="0.35"/>
    <row r="935" ht="14.25" customHeight="1" x14ac:dyDescent="0.35"/>
    <row r="936" ht="14.25" customHeight="1" x14ac:dyDescent="0.35"/>
    <row r="937" ht="14.25" customHeight="1" x14ac:dyDescent="0.35"/>
    <row r="938" ht="14.25" customHeight="1" x14ac:dyDescent="0.35"/>
    <row r="939" ht="14.25" customHeight="1" x14ac:dyDescent="0.35"/>
    <row r="940" ht="14.25" customHeight="1" x14ac:dyDescent="0.35"/>
    <row r="941" ht="14.25" customHeight="1" x14ac:dyDescent="0.35"/>
    <row r="942" ht="14.25" customHeight="1" x14ac:dyDescent="0.35"/>
    <row r="943" ht="14.25" customHeight="1" x14ac:dyDescent="0.35"/>
    <row r="944" ht="14.25" customHeight="1" x14ac:dyDescent="0.35"/>
    <row r="945" ht="14.25" customHeight="1" x14ac:dyDescent="0.35"/>
    <row r="946" ht="14.25" customHeight="1" x14ac:dyDescent="0.35"/>
    <row r="947" ht="14.25" customHeight="1" x14ac:dyDescent="0.35"/>
    <row r="948" ht="14.25" customHeight="1" x14ac:dyDescent="0.35"/>
    <row r="949" ht="14.25" customHeight="1" x14ac:dyDescent="0.35"/>
    <row r="950" ht="14.25" customHeight="1" x14ac:dyDescent="0.35"/>
    <row r="951" ht="14.25" customHeight="1" x14ac:dyDescent="0.35"/>
    <row r="952" ht="14.25" customHeight="1" x14ac:dyDescent="0.35"/>
    <row r="953" ht="14.25" customHeight="1" x14ac:dyDescent="0.35"/>
    <row r="954" ht="14.25" customHeight="1" x14ac:dyDescent="0.35"/>
    <row r="955" ht="14.25" customHeight="1" x14ac:dyDescent="0.35"/>
    <row r="956" ht="14.25" customHeight="1" x14ac:dyDescent="0.35"/>
    <row r="957" ht="14.25" customHeight="1" x14ac:dyDescent="0.35"/>
    <row r="958" ht="14.25" customHeight="1" x14ac:dyDescent="0.35"/>
    <row r="959" ht="14.25" customHeight="1" x14ac:dyDescent="0.35"/>
    <row r="960" ht="14.25" customHeight="1" x14ac:dyDescent="0.35"/>
    <row r="961" ht="14.25" customHeight="1" x14ac:dyDescent="0.35"/>
    <row r="962" ht="14.25" customHeight="1" x14ac:dyDescent="0.35"/>
    <row r="963" ht="14.25" customHeight="1" x14ac:dyDescent="0.35"/>
    <row r="964" ht="14.25" customHeight="1" x14ac:dyDescent="0.35"/>
    <row r="965" ht="14.25" customHeight="1" x14ac:dyDescent="0.35"/>
    <row r="966" ht="14.25" customHeight="1" x14ac:dyDescent="0.35"/>
    <row r="967" ht="14.25" customHeight="1" x14ac:dyDescent="0.35"/>
    <row r="968" ht="14.25" customHeight="1" x14ac:dyDescent="0.35"/>
    <row r="969" ht="14.25" customHeight="1" x14ac:dyDescent="0.35"/>
    <row r="970" ht="14.25" customHeight="1" x14ac:dyDescent="0.35"/>
    <row r="971" ht="14.25" customHeight="1" x14ac:dyDescent="0.35"/>
    <row r="972" ht="14.25" customHeight="1" x14ac:dyDescent="0.35"/>
    <row r="973" ht="14.25" customHeight="1" x14ac:dyDescent="0.35"/>
    <row r="974" ht="14.25" customHeight="1" x14ac:dyDescent="0.35"/>
    <row r="975" ht="14.25" customHeight="1" x14ac:dyDescent="0.35"/>
    <row r="976" ht="14.25" customHeight="1" x14ac:dyDescent="0.35"/>
    <row r="977" ht="14.25" customHeight="1" x14ac:dyDescent="0.35"/>
    <row r="978" ht="14.25" customHeight="1" x14ac:dyDescent="0.35"/>
    <row r="979" ht="14.25" customHeight="1" x14ac:dyDescent="0.35"/>
    <row r="980" ht="14.25" customHeight="1" x14ac:dyDescent="0.35"/>
    <row r="981" ht="14.25" customHeight="1" x14ac:dyDescent="0.35"/>
    <row r="982" ht="14.25" customHeight="1" x14ac:dyDescent="0.35"/>
    <row r="983" ht="14.25" customHeight="1" x14ac:dyDescent="0.35"/>
    <row r="984" ht="14.25" customHeight="1" x14ac:dyDescent="0.35"/>
    <row r="985" ht="14.25" customHeight="1" x14ac:dyDescent="0.35"/>
    <row r="986" ht="14.25" customHeight="1" x14ac:dyDescent="0.35"/>
    <row r="987" ht="14.25" customHeight="1" x14ac:dyDescent="0.35"/>
    <row r="988" ht="14.25" customHeight="1" x14ac:dyDescent="0.35"/>
    <row r="989" ht="14.25" customHeight="1" x14ac:dyDescent="0.35"/>
    <row r="990" ht="14.25" customHeight="1" x14ac:dyDescent="0.35"/>
    <row r="991" ht="14.25" customHeight="1" x14ac:dyDescent="0.35"/>
    <row r="992" ht="14.25" customHeight="1" x14ac:dyDescent="0.35"/>
    <row r="993" ht="14.25" customHeight="1" x14ac:dyDescent="0.35"/>
    <row r="994" ht="14.25" customHeight="1" x14ac:dyDescent="0.35"/>
    <row r="995" ht="14.25" customHeight="1" x14ac:dyDescent="0.35"/>
    <row r="996" ht="14.25" customHeight="1" x14ac:dyDescent="0.35"/>
    <row r="997" ht="14.25" customHeight="1" x14ac:dyDescent="0.35"/>
    <row r="998" ht="14.25" customHeight="1" x14ac:dyDescent="0.35"/>
    <row r="999" ht="14.25" customHeight="1" x14ac:dyDescent="0.35"/>
    <row r="1000" ht="14.25" customHeight="1" x14ac:dyDescent="0.35"/>
  </sheetData>
  <pageMargins left="0.7" right="0.7" top="0.75" bottom="0.75" header="0.511811023622047" footer="0.511811023622047"/>
  <pageSetup orientation="landscape"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1:G1000"/>
  <sheetViews>
    <sheetView showGridLines="0" zoomScaleNormal="100" workbookViewId="0">
      <selection activeCell="H17" sqref="H17"/>
    </sheetView>
  </sheetViews>
  <sheetFormatPr defaultColWidth="14.453125" defaultRowHeight="14.5" x14ac:dyDescent="0.35"/>
  <cols>
    <col min="1" max="1" width="8.7265625" customWidth="1"/>
    <col min="2" max="2" width="12.453125" customWidth="1"/>
    <col min="3" max="3" width="14.7265625" customWidth="1"/>
    <col min="4" max="4" width="6.54296875" customWidth="1"/>
    <col min="5" max="5" width="8.81640625" customWidth="1"/>
    <col min="6" max="6" width="3.81640625" customWidth="1"/>
    <col min="7" max="7" width="10.08984375" customWidth="1"/>
    <col min="8" max="26" width="8.7265625" customWidth="1"/>
  </cols>
  <sheetData>
    <row r="1" spans="2:7" ht="14.25" customHeight="1" x14ac:dyDescent="0.35"/>
    <row r="2" spans="2:7" ht="14.25" customHeight="1" x14ac:dyDescent="0.35"/>
    <row r="3" spans="2:7" ht="14.25" customHeight="1" x14ac:dyDescent="0.35">
      <c r="B3" s="96" t="s">
        <v>78</v>
      </c>
      <c r="C3" s="96" t="s">
        <v>75</v>
      </c>
    </row>
    <row r="4" spans="2:7" ht="14.25" customHeight="1" x14ac:dyDescent="0.35">
      <c r="B4" s="81" t="s">
        <v>76</v>
      </c>
      <c r="C4" s="82" t="s">
        <v>58</v>
      </c>
      <c r="D4" s="82" t="s">
        <v>64</v>
      </c>
      <c r="E4" s="82" t="s">
        <v>44</v>
      </c>
      <c r="F4" s="82" t="s">
        <v>66</v>
      </c>
      <c r="G4" s="82" t="s">
        <v>77</v>
      </c>
    </row>
    <row r="5" spans="2:7" ht="14.25" customHeight="1" x14ac:dyDescent="0.35">
      <c r="B5" s="83" t="s">
        <v>52</v>
      </c>
      <c r="C5" s="87">
        <v>5</v>
      </c>
      <c r="D5" s="49"/>
      <c r="E5" s="49"/>
      <c r="F5" s="49"/>
      <c r="G5" s="87">
        <v>5</v>
      </c>
    </row>
    <row r="6" spans="2:7" ht="14.25" customHeight="1" x14ac:dyDescent="0.35">
      <c r="B6" s="83" t="s">
        <v>45</v>
      </c>
      <c r="C6" s="49"/>
      <c r="D6" s="87">
        <v>6</v>
      </c>
      <c r="E6" s="87">
        <v>6</v>
      </c>
      <c r="F6" s="87">
        <v>5</v>
      </c>
      <c r="G6" s="87">
        <v>17</v>
      </c>
    </row>
    <row r="7" spans="2:7" ht="14.25" customHeight="1" x14ac:dyDescent="0.35">
      <c r="B7" s="85" t="s">
        <v>77</v>
      </c>
      <c r="C7" s="88">
        <v>5</v>
      </c>
      <c r="D7" s="88">
        <v>6</v>
      </c>
      <c r="E7" s="88">
        <v>6</v>
      </c>
      <c r="F7" s="88">
        <v>5</v>
      </c>
      <c r="G7" s="89">
        <v>22</v>
      </c>
    </row>
    <row r="8" spans="2:7" ht="14.25" customHeight="1" x14ac:dyDescent="0.35"/>
    <row r="9" spans="2:7" ht="14.25" customHeight="1" x14ac:dyDescent="0.35"/>
    <row r="10" spans="2:7" ht="14.25" customHeight="1" x14ac:dyDescent="0.35"/>
    <row r="11" spans="2:7" ht="14.25" customHeight="1" x14ac:dyDescent="0.35"/>
    <row r="12" spans="2:7" ht="14.25" customHeight="1" x14ac:dyDescent="0.35"/>
    <row r="13" spans="2:7" ht="14.25" customHeight="1" x14ac:dyDescent="0.35"/>
    <row r="14" spans="2:7" ht="14.25" customHeight="1" x14ac:dyDescent="0.35"/>
    <row r="15" spans="2:7" ht="14.25" customHeight="1" x14ac:dyDescent="0.35"/>
    <row r="16" spans="2:7" ht="14.25" customHeight="1" x14ac:dyDescent="0.35"/>
    <row r="17" ht="14.25" customHeight="1" x14ac:dyDescent="0.35"/>
    <row r="18" ht="14.25" customHeight="1" x14ac:dyDescent="0.35"/>
    <row r="19" ht="14.25" customHeight="1" x14ac:dyDescent="0.35"/>
    <row r="20" ht="14.25" customHeight="1" x14ac:dyDescent="0.35"/>
    <row r="21" ht="14.25" customHeight="1" x14ac:dyDescent="0.35"/>
    <row r="22" ht="14.25" customHeight="1" x14ac:dyDescent="0.35"/>
    <row r="23" ht="14.25" customHeight="1" x14ac:dyDescent="0.35"/>
    <row r="24" ht="14.25" customHeight="1" x14ac:dyDescent="0.35"/>
    <row r="25" ht="14.25" customHeight="1" x14ac:dyDescent="0.35"/>
    <row r="26" ht="14.25" customHeight="1" x14ac:dyDescent="0.35"/>
    <row r="27" ht="14.25" customHeight="1" x14ac:dyDescent="0.35"/>
    <row r="28" ht="14.25" customHeight="1" x14ac:dyDescent="0.35"/>
    <row r="29" ht="14.25" customHeight="1" x14ac:dyDescent="0.35"/>
    <row r="30" ht="14.25" customHeight="1" x14ac:dyDescent="0.35"/>
    <row r="31" ht="14.25" customHeight="1" x14ac:dyDescent="0.35"/>
    <row r="32" ht="14.25" customHeight="1" x14ac:dyDescent="0.35"/>
    <row r="33" ht="14.25" customHeight="1" x14ac:dyDescent="0.35"/>
    <row r="34" ht="14.25" customHeight="1" x14ac:dyDescent="0.35"/>
    <row r="35" ht="14.25" customHeight="1" x14ac:dyDescent="0.35"/>
    <row r="36" ht="14.25" customHeight="1" x14ac:dyDescent="0.35"/>
    <row r="37" ht="14.25" customHeight="1" x14ac:dyDescent="0.35"/>
    <row r="38" ht="14.25" customHeight="1" x14ac:dyDescent="0.35"/>
    <row r="39" ht="14.25" customHeight="1" x14ac:dyDescent="0.35"/>
    <row r="40" ht="14.25" customHeight="1" x14ac:dyDescent="0.35"/>
    <row r="41" ht="14.25" customHeight="1" x14ac:dyDescent="0.35"/>
    <row r="42" ht="14.25" customHeight="1" x14ac:dyDescent="0.35"/>
    <row r="43" ht="14.25" customHeight="1" x14ac:dyDescent="0.35"/>
    <row r="44" ht="14.25" customHeight="1" x14ac:dyDescent="0.35"/>
    <row r="45" ht="14.25" customHeight="1" x14ac:dyDescent="0.35"/>
    <row r="46" ht="14.25" customHeight="1" x14ac:dyDescent="0.35"/>
    <row r="47" ht="14.25" customHeight="1" x14ac:dyDescent="0.35"/>
    <row r="48" ht="14.25" customHeight="1" x14ac:dyDescent="0.35"/>
    <row r="49" ht="14.25" customHeight="1" x14ac:dyDescent="0.35"/>
    <row r="50" ht="14.25" customHeight="1" x14ac:dyDescent="0.35"/>
    <row r="51" ht="14.25" customHeight="1" x14ac:dyDescent="0.35"/>
    <row r="52" ht="14.25" customHeight="1" x14ac:dyDescent="0.35"/>
    <row r="53" ht="14.25" customHeight="1" x14ac:dyDescent="0.35"/>
    <row r="54" ht="14.25" customHeight="1" x14ac:dyDescent="0.35"/>
    <row r="55" ht="14.25" customHeight="1" x14ac:dyDescent="0.35"/>
    <row r="56" ht="14.25" customHeight="1" x14ac:dyDescent="0.35"/>
    <row r="57" ht="14.25" customHeight="1" x14ac:dyDescent="0.35"/>
    <row r="58" ht="14.25" customHeight="1" x14ac:dyDescent="0.35"/>
    <row r="59" ht="14.25" customHeight="1" x14ac:dyDescent="0.35"/>
    <row r="60" ht="14.25" customHeight="1" x14ac:dyDescent="0.35"/>
    <row r="61" ht="14.25" customHeight="1" x14ac:dyDescent="0.35"/>
    <row r="62" ht="14.25" customHeight="1" x14ac:dyDescent="0.35"/>
    <row r="63" ht="14.25" customHeight="1" x14ac:dyDescent="0.35"/>
    <row r="64" ht="14.25" customHeight="1" x14ac:dyDescent="0.35"/>
    <row r="65" ht="14.25" customHeight="1" x14ac:dyDescent="0.35"/>
    <row r="66" ht="14.25" customHeight="1" x14ac:dyDescent="0.35"/>
    <row r="67" ht="14.25" customHeight="1" x14ac:dyDescent="0.35"/>
    <row r="68" ht="14.25" customHeight="1" x14ac:dyDescent="0.35"/>
    <row r="69" ht="14.25" customHeight="1" x14ac:dyDescent="0.35"/>
    <row r="70" ht="14.25" customHeight="1" x14ac:dyDescent="0.35"/>
    <row r="71" ht="14.25" customHeight="1" x14ac:dyDescent="0.35"/>
    <row r="72" ht="14.25" customHeight="1" x14ac:dyDescent="0.35"/>
    <row r="73" ht="14.25" customHeight="1" x14ac:dyDescent="0.35"/>
    <row r="74" ht="14.25" customHeight="1" x14ac:dyDescent="0.35"/>
    <row r="75" ht="14.25" customHeight="1" x14ac:dyDescent="0.35"/>
    <row r="76" ht="14.25" customHeight="1" x14ac:dyDescent="0.35"/>
    <row r="77" ht="14.25" customHeight="1" x14ac:dyDescent="0.35"/>
    <row r="78" ht="14.25" customHeight="1" x14ac:dyDescent="0.35"/>
    <row r="79" ht="14.25" customHeight="1" x14ac:dyDescent="0.35"/>
    <row r="80" ht="14.25" customHeight="1" x14ac:dyDescent="0.35"/>
    <row r="81" ht="14.25" customHeight="1" x14ac:dyDescent="0.35"/>
    <row r="82" ht="14.25" customHeight="1" x14ac:dyDescent="0.35"/>
    <row r="83" ht="14.25" customHeight="1" x14ac:dyDescent="0.35"/>
    <row r="84" ht="14.25" customHeight="1" x14ac:dyDescent="0.35"/>
    <row r="85" ht="14.25" customHeight="1" x14ac:dyDescent="0.35"/>
    <row r="86" ht="14.25" customHeight="1" x14ac:dyDescent="0.35"/>
    <row r="87" ht="14.25" customHeight="1" x14ac:dyDescent="0.35"/>
    <row r="88" ht="14.25" customHeight="1" x14ac:dyDescent="0.35"/>
    <row r="89" ht="14.25" customHeight="1" x14ac:dyDescent="0.35"/>
    <row r="90" ht="14.25" customHeight="1" x14ac:dyDescent="0.35"/>
    <row r="91" ht="14.25" customHeight="1" x14ac:dyDescent="0.35"/>
    <row r="92" ht="14.25" customHeight="1" x14ac:dyDescent="0.35"/>
    <row r="93" ht="14.25" customHeight="1" x14ac:dyDescent="0.35"/>
    <row r="94" ht="14.25" customHeight="1" x14ac:dyDescent="0.35"/>
    <row r="95" ht="14.25" customHeight="1" x14ac:dyDescent="0.35"/>
    <row r="96" ht="14.25" customHeight="1" x14ac:dyDescent="0.35"/>
    <row r="97" ht="14.25" customHeight="1" x14ac:dyDescent="0.35"/>
    <row r="98" ht="14.25" customHeight="1" x14ac:dyDescent="0.35"/>
    <row r="99" ht="14.25" customHeight="1" x14ac:dyDescent="0.35"/>
    <row r="100" ht="14.25" customHeight="1" x14ac:dyDescent="0.35"/>
    <row r="101" ht="14.25" customHeight="1" x14ac:dyDescent="0.35"/>
    <row r="102" ht="14.25" customHeight="1" x14ac:dyDescent="0.35"/>
    <row r="103" ht="14.25" customHeight="1" x14ac:dyDescent="0.35"/>
    <row r="104" ht="14.25" customHeight="1" x14ac:dyDescent="0.35"/>
    <row r="105" ht="14.25" customHeight="1" x14ac:dyDescent="0.35"/>
    <row r="106" ht="14.25" customHeight="1" x14ac:dyDescent="0.35"/>
    <row r="107" ht="14.25" customHeight="1" x14ac:dyDescent="0.35"/>
    <row r="108" ht="14.25" customHeight="1" x14ac:dyDescent="0.35"/>
    <row r="109" ht="14.25" customHeight="1" x14ac:dyDescent="0.35"/>
    <row r="110" ht="14.25" customHeight="1" x14ac:dyDescent="0.35"/>
    <row r="111" ht="14.25" customHeight="1" x14ac:dyDescent="0.35"/>
    <row r="112" ht="14.25" customHeight="1" x14ac:dyDescent="0.35"/>
    <row r="113" ht="14.25" customHeight="1" x14ac:dyDescent="0.35"/>
    <row r="114" ht="14.25" customHeight="1" x14ac:dyDescent="0.35"/>
    <row r="115" ht="14.25" customHeight="1" x14ac:dyDescent="0.35"/>
    <row r="116" ht="14.25" customHeight="1" x14ac:dyDescent="0.35"/>
    <row r="117" ht="14.25" customHeight="1" x14ac:dyDescent="0.35"/>
    <row r="118" ht="14.25" customHeight="1" x14ac:dyDescent="0.35"/>
    <row r="119" ht="14.25" customHeight="1" x14ac:dyDescent="0.35"/>
    <row r="120" ht="14.25" customHeight="1" x14ac:dyDescent="0.35"/>
    <row r="121" ht="14.25" customHeight="1" x14ac:dyDescent="0.35"/>
    <row r="122" ht="14.25" customHeight="1" x14ac:dyDescent="0.35"/>
    <row r="123" ht="14.25" customHeight="1" x14ac:dyDescent="0.35"/>
    <row r="124" ht="14.25" customHeight="1" x14ac:dyDescent="0.35"/>
    <row r="125" ht="14.25" customHeight="1" x14ac:dyDescent="0.35"/>
    <row r="126" ht="14.25" customHeight="1" x14ac:dyDescent="0.35"/>
    <row r="127" ht="14.25" customHeight="1" x14ac:dyDescent="0.35"/>
    <row r="128" ht="14.25" customHeight="1" x14ac:dyDescent="0.35"/>
    <row r="129" ht="14.25" customHeight="1" x14ac:dyDescent="0.35"/>
    <row r="130" ht="14.25" customHeight="1" x14ac:dyDescent="0.35"/>
    <row r="131" ht="14.25" customHeight="1" x14ac:dyDescent="0.35"/>
    <row r="132" ht="14.25" customHeight="1" x14ac:dyDescent="0.35"/>
    <row r="133" ht="14.25" customHeight="1" x14ac:dyDescent="0.35"/>
    <row r="134" ht="14.25" customHeight="1" x14ac:dyDescent="0.35"/>
    <row r="135" ht="14.25" customHeight="1" x14ac:dyDescent="0.35"/>
    <row r="136" ht="14.25" customHeight="1" x14ac:dyDescent="0.35"/>
    <row r="137" ht="14.25" customHeight="1" x14ac:dyDescent="0.35"/>
    <row r="138" ht="14.25" customHeight="1" x14ac:dyDescent="0.35"/>
    <row r="139" ht="14.25" customHeight="1" x14ac:dyDescent="0.35"/>
    <row r="140" ht="14.25" customHeight="1" x14ac:dyDescent="0.35"/>
    <row r="141" ht="14.25" customHeight="1" x14ac:dyDescent="0.35"/>
    <row r="142" ht="14.25" customHeight="1" x14ac:dyDescent="0.35"/>
    <row r="143" ht="14.25" customHeight="1" x14ac:dyDescent="0.35"/>
    <row r="144" ht="14.25" customHeight="1" x14ac:dyDescent="0.35"/>
    <row r="145" ht="14.25" customHeight="1" x14ac:dyDescent="0.35"/>
    <row r="146" ht="14.25" customHeight="1" x14ac:dyDescent="0.35"/>
    <row r="147" ht="14.25" customHeight="1" x14ac:dyDescent="0.35"/>
    <row r="148" ht="14.25" customHeight="1" x14ac:dyDescent="0.35"/>
    <row r="149" ht="14.25" customHeight="1" x14ac:dyDescent="0.35"/>
    <row r="150" ht="14.25" customHeight="1" x14ac:dyDescent="0.35"/>
    <row r="151" ht="14.25" customHeight="1" x14ac:dyDescent="0.35"/>
    <row r="152" ht="14.25" customHeight="1" x14ac:dyDescent="0.35"/>
    <row r="153" ht="14.25" customHeight="1" x14ac:dyDescent="0.35"/>
    <row r="154" ht="14.25" customHeight="1" x14ac:dyDescent="0.35"/>
    <row r="155" ht="14.25" customHeight="1" x14ac:dyDescent="0.35"/>
    <row r="156" ht="14.25" customHeight="1" x14ac:dyDescent="0.35"/>
    <row r="157" ht="14.25" customHeight="1" x14ac:dyDescent="0.35"/>
    <row r="158" ht="14.25" customHeight="1" x14ac:dyDescent="0.35"/>
    <row r="159" ht="14.25" customHeight="1" x14ac:dyDescent="0.35"/>
    <row r="160" ht="14.25" customHeight="1" x14ac:dyDescent="0.35"/>
    <row r="161" ht="14.25" customHeight="1" x14ac:dyDescent="0.35"/>
    <row r="162" ht="14.25" customHeight="1" x14ac:dyDescent="0.35"/>
    <row r="163" ht="14.25" customHeight="1" x14ac:dyDescent="0.35"/>
    <row r="164" ht="14.25" customHeight="1" x14ac:dyDescent="0.35"/>
    <row r="165" ht="14.25" customHeight="1" x14ac:dyDescent="0.35"/>
    <row r="166" ht="14.25" customHeight="1" x14ac:dyDescent="0.35"/>
    <row r="167" ht="14.25" customHeight="1" x14ac:dyDescent="0.35"/>
    <row r="168" ht="14.25" customHeight="1" x14ac:dyDescent="0.35"/>
    <row r="169" ht="14.25" customHeight="1" x14ac:dyDescent="0.35"/>
    <row r="170" ht="14.25" customHeight="1" x14ac:dyDescent="0.35"/>
    <row r="171" ht="14.25" customHeight="1" x14ac:dyDescent="0.35"/>
    <row r="172" ht="14.25" customHeight="1" x14ac:dyDescent="0.35"/>
    <row r="173" ht="14.25" customHeight="1" x14ac:dyDescent="0.35"/>
    <row r="174" ht="14.25" customHeight="1" x14ac:dyDescent="0.35"/>
    <row r="175" ht="14.25" customHeight="1" x14ac:dyDescent="0.35"/>
    <row r="176" ht="14.25" customHeight="1" x14ac:dyDescent="0.35"/>
    <row r="177" ht="14.25" customHeight="1" x14ac:dyDescent="0.35"/>
    <row r="178" ht="14.25" customHeight="1" x14ac:dyDescent="0.35"/>
    <row r="179" ht="14.25" customHeight="1" x14ac:dyDescent="0.35"/>
    <row r="180" ht="14.25" customHeight="1" x14ac:dyDescent="0.35"/>
    <row r="181" ht="14.25" customHeight="1" x14ac:dyDescent="0.35"/>
    <row r="182" ht="14.25" customHeight="1" x14ac:dyDescent="0.35"/>
    <row r="183" ht="14.25" customHeight="1" x14ac:dyDescent="0.35"/>
    <row r="184" ht="14.25" customHeight="1" x14ac:dyDescent="0.35"/>
    <row r="185" ht="14.25" customHeight="1" x14ac:dyDescent="0.35"/>
    <row r="186" ht="14.25" customHeight="1" x14ac:dyDescent="0.35"/>
    <row r="187" ht="14.25" customHeight="1" x14ac:dyDescent="0.35"/>
    <row r="188" ht="14.25" customHeight="1" x14ac:dyDescent="0.35"/>
    <row r="189" ht="14.25" customHeight="1" x14ac:dyDescent="0.35"/>
    <row r="190" ht="14.25" customHeight="1" x14ac:dyDescent="0.35"/>
    <row r="191" ht="14.25" customHeight="1" x14ac:dyDescent="0.35"/>
    <row r="192" ht="14.25" customHeight="1" x14ac:dyDescent="0.35"/>
    <row r="193" ht="14.25" customHeight="1" x14ac:dyDescent="0.35"/>
    <row r="194" ht="14.25" customHeight="1" x14ac:dyDescent="0.35"/>
    <row r="195" ht="14.25" customHeight="1" x14ac:dyDescent="0.35"/>
    <row r="196" ht="14.25" customHeight="1" x14ac:dyDescent="0.35"/>
    <row r="197" ht="14.25" customHeight="1" x14ac:dyDescent="0.35"/>
    <row r="198" ht="14.25" customHeight="1" x14ac:dyDescent="0.35"/>
    <row r="199" ht="14.25" customHeight="1" x14ac:dyDescent="0.35"/>
    <row r="200" ht="14.25" customHeight="1" x14ac:dyDescent="0.35"/>
    <row r="201" ht="14.25" customHeight="1" x14ac:dyDescent="0.35"/>
    <row r="202" ht="14.25" customHeight="1" x14ac:dyDescent="0.35"/>
    <row r="203" ht="14.25" customHeight="1" x14ac:dyDescent="0.35"/>
    <row r="204" ht="14.25" customHeight="1" x14ac:dyDescent="0.35"/>
    <row r="205" ht="14.25" customHeight="1" x14ac:dyDescent="0.35"/>
    <row r="206" ht="14.25" customHeight="1" x14ac:dyDescent="0.35"/>
    <row r="207" ht="14.25" customHeight="1" x14ac:dyDescent="0.35"/>
    <row r="208" ht="14.25" customHeight="1" x14ac:dyDescent="0.35"/>
    <row r="209" ht="14.25" customHeight="1" x14ac:dyDescent="0.35"/>
    <row r="210" ht="14.25" customHeight="1" x14ac:dyDescent="0.35"/>
    <row r="211" ht="14.25" customHeight="1" x14ac:dyDescent="0.35"/>
    <row r="212" ht="14.25" customHeight="1" x14ac:dyDescent="0.35"/>
    <row r="213" ht="14.25" customHeight="1" x14ac:dyDescent="0.35"/>
    <row r="214" ht="14.25" customHeight="1" x14ac:dyDescent="0.35"/>
    <row r="215" ht="14.25" customHeight="1" x14ac:dyDescent="0.35"/>
    <row r="216" ht="14.25" customHeight="1" x14ac:dyDescent="0.35"/>
    <row r="217" ht="14.25" customHeight="1" x14ac:dyDescent="0.35"/>
    <row r="218" ht="14.25" customHeight="1" x14ac:dyDescent="0.35"/>
    <row r="219" ht="14.25" customHeight="1" x14ac:dyDescent="0.35"/>
    <row r="220" ht="14.25" customHeight="1" x14ac:dyDescent="0.35"/>
    <row r="221" ht="14.25" customHeight="1" x14ac:dyDescent="0.35"/>
    <row r="222" ht="14.25" customHeight="1" x14ac:dyDescent="0.35"/>
    <row r="223" ht="14.25" customHeight="1" x14ac:dyDescent="0.35"/>
    <row r="224" ht="14.25" customHeight="1" x14ac:dyDescent="0.35"/>
    <row r="225" ht="14.25" customHeight="1" x14ac:dyDescent="0.35"/>
    <row r="226" ht="14.25" customHeight="1" x14ac:dyDescent="0.35"/>
    <row r="227" ht="14.25" customHeight="1" x14ac:dyDescent="0.35"/>
    <row r="228" ht="14.25" customHeight="1" x14ac:dyDescent="0.35"/>
    <row r="229" ht="14.25" customHeight="1" x14ac:dyDescent="0.35"/>
    <row r="230" ht="14.25" customHeight="1" x14ac:dyDescent="0.35"/>
    <row r="231" ht="14.25" customHeight="1" x14ac:dyDescent="0.35"/>
    <row r="232" ht="14.25" customHeight="1" x14ac:dyDescent="0.35"/>
    <row r="233" ht="14.25" customHeight="1" x14ac:dyDescent="0.35"/>
    <row r="234" ht="14.25" customHeight="1" x14ac:dyDescent="0.35"/>
    <row r="235" ht="14.25" customHeight="1" x14ac:dyDescent="0.35"/>
    <row r="236" ht="14.25" customHeight="1" x14ac:dyDescent="0.35"/>
    <row r="237" ht="14.25" customHeight="1" x14ac:dyDescent="0.35"/>
    <row r="238" ht="14.25" customHeight="1" x14ac:dyDescent="0.35"/>
    <row r="239" ht="14.25" customHeight="1" x14ac:dyDescent="0.35"/>
    <row r="240" ht="14.25" customHeight="1" x14ac:dyDescent="0.35"/>
    <row r="241" ht="14.25" customHeight="1" x14ac:dyDescent="0.35"/>
    <row r="242" ht="14.25" customHeight="1" x14ac:dyDescent="0.35"/>
    <row r="243" ht="14.25" customHeight="1" x14ac:dyDescent="0.35"/>
    <row r="244" ht="14.25" customHeight="1" x14ac:dyDescent="0.35"/>
    <row r="245" ht="14.25" customHeight="1" x14ac:dyDescent="0.35"/>
    <row r="246" ht="14.25" customHeight="1" x14ac:dyDescent="0.35"/>
    <row r="247" ht="14.25" customHeight="1" x14ac:dyDescent="0.35"/>
    <row r="248" ht="14.25" customHeight="1" x14ac:dyDescent="0.35"/>
    <row r="249" ht="14.25" customHeight="1" x14ac:dyDescent="0.35"/>
    <row r="250" ht="14.25" customHeight="1" x14ac:dyDescent="0.35"/>
    <row r="251" ht="14.25" customHeight="1" x14ac:dyDescent="0.35"/>
    <row r="252" ht="14.25" customHeight="1" x14ac:dyDescent="0.35"/>
    <row r="253" ht="14.25" customHeight="1" x14ac:dyDescent="0.35"/>
    <row r="254" ht="14.25" customHeight="1" x14ac:dyDescent="0.35"/>
    <row r="255" ht="14.25" customHeight="1" x14ac:dyDescent="0.35"/>
    <row r="256" ht="14.25" customHeight="1" x14ac:dyDescent="0.35"/>
    <row r="257" ht="14.25" customHeight="1" x14ac:dyDescent="0.35"/>
    <row r="258" ht="14.25" customHeight="1" x14ac:dyDescent="0.35"/>
    <row r="259" ht="14.25" customHeight="1" x14ac:dyDescent="0.35"/>
    <row r="260" ht="14.25" customHeight="1" x14ac:dyDescent="0.35"/>
    <row r="261" ht="14.25" customHeight="1" x14ac:dyDescent="0.35"/>
    <row r="262" ht="14.25" customHeight="1" x14ac:dyDescent="0.35"/>
    <row r="263" ht="14.25" customHeight="1" x14ac:dyDescent="0.35"/>
    <row r="264" ht="14.25" customHeight="1" x14ac:dyDescent="0.35"/>
    <row r="265" ht="14.25" customHeight="1" x14ac:dyDescent="0.35"/>
    <row r="266" ht="14.25" customHeight="1" x14ac:dyDescent="0.35"/>
    <row r="267" ht="14.25" customHeight="1" x14ac:dyDescent="0.35"/>
    <row r="268" ht="14.25" customHeight="1" x14ac:dyDescent="0.35"/>
    <row r="269" ht="14.25" customHeight="1" x14ac:dyDescent="0.35"/>
    <row r="270" ht="14.25" customHeight="1" x14ac:dyDescent="0.35"/>
    <row r="271" ht="14.25" customHeight="1" x14ac:dyDescent="0.35"/>
    <row r="272" ht="14.25" customHeight="1" x14ac:dyDescent="0.35"/>
    <row r="273" ht="14.25" customHeight="1" x14ac:dyDescent="0.35"/>
    <row r="274" ht="14.25" customHeight="1" x14ac:dyDescent="0.35"/>
    <row r="275" ht="14.25" customHeight="1" x14ac:dyDescent="0.35"/>
    <row r="276" ht="14.25" customHeight="1" x14ac:dyDescent="0.35"/>
    <row r="277" ht="14.25" customHeight="1" x14ac:dyDescent="0.35"/>
    <row r="278" ht="14.25" customHeight="1" x14ac:dyDescent="0.35"/>
    <row r="279" ht="14.25" customHeight="1" x14ac:dyDescent="0.35"/>
    <row r="280" ht="14.25" customHeight="1" x14ac:dyDescent="0.35"/>
    <row r="281" ht="14.25" customHeight="1" x14ac:dyDescent="0.35"/>
    <row r="282" ht="14.25" customHeight="1" x14ac:dyDescent="0.35"/>
    <row r="283" ht="14.25" customHeight="1" x14ac:dyDescent="0.35"/>
    <row r="284" ht="14.25" customHeight="1" x14ac:dyDescent="0.35"/>
    <row r="285" ht="14.25" customHeight="1" x14ac:dyDescent="0.35"/>
    <row r="286" ht="14.25" customHeight="1" x14ac:dyDescent="0.35"/>
    <row r="287" ht="14.25" customHeight="1" x14ac:dyDescent="0.35"/>
    <row r="288" ht="14.25" customHeight="1" x14ac:dyDescent="0.35"/>
    <row r="289" ht="14.25" customHeight="1" x14ac:dyDescent="0.35"/>
    <row r="290" ht="14.25" customHeight="1" x14ac:dyDescent="0.35"/>
    <row r="291" ht="14.25" customHeight="1" x14ac:dyDescent="0.35"/>
    <row r="292" ht="14.25" customHeight="1" x14ac:dyDescent="0.35"/>
    <row r="293" ht="14.25" customHeight="1" x14ac:dyDescent="0.35"/>
    <row r="294" ht="14.25" customHeight="1" x14ac:dyDescent="0.35"/>
    <row r="295" ht="14.25" customHeight="1" x14ac:dyDescent="0.35"/>
    <row r="296" ht="14.25" customHeight="1" x14ac:dyDescent="0.35"/>
    <row r="297" ht="14.25" customHeight="1" x14ac:dyDescent="0.35"/>
    <row r="298" ht="14.25" customHeight="1" x14ac:dyDescent="0.35"/>
    <row r="299" ht="14.25" customHeight="1" x14ac:dyDescent="0.35"/>
    <row r="300" ht="14.25" customHeight="1" x14ac:dyDescent="0.35"/>
    <row r="301" ht="14.25" customHeight="1" x14ac:dyDescent="0.35"/>
    <row r="302" ht="14.25" customHeight="1" x14ac:dyDescent="0.35"/>
    <row r="303" ht="14.25" customHeight="1" x14ac:dyDescent="0.35"/>
    <row r="304" ht="14.25" customHeight="1" x14ac:dyDescent="0.35"/>
    <row r="305" ht="14.25" customHeight="1" x14ac:dyDescent="0.35"/>
    <row r="306" ht="14.25" customHeight="1" x14ac:dyDescent="0.35"/>
    <row r="307" ht="14.25" customHeight="1" x14ac:dyDescent="0.35"/>
    <row r="308" ht="14.25" customHeight="1" x14ac:dyDescent="0.35"/>
    <row r="309" ht="14.25" customHeight="1" x14ac:dyDescent="0.35"/>
    <row r="310" ht="14.25" customHeight="1" x14ac:dyDescent="0.35"/>
    <row r="311" ht="14.25" customHeight="1" x14ac:dyDescent="0.35"/>
    <row r="312" ht="14.25" customHeight="1" x14ac:dyDescent="0.35"/>
    <row r="313" ht="14.25" customHeight="1" x14ac:dyDescent="0.35"/>
    <row r="314" ht="14.25" customHeight="1" x14ac:dyDescent="0.35"/>
    <row r="315" ht="14.25" customHeight="1" x14ac:dyDescent="0.35"/>
    <row r="316" ht="14.25" customHeight="1" x14ac:dyDescent="0.35"/>
    <row r="317" ht="14.25" customHeight="1" x14ac:dyDescent="0.35"/>
    <row r="318" ht="14.25" customHeight="1" x14ac:dyDescent="0.35"/>
    <row r="319" ht="14.25" customHeight="1" x14ac:dyDescent="0.35"/>
    <row r="320" ht="14.25" customHeight="1" x14ac:dyDescent="0.35"/>
    <row r="321" ht="14.25" customHeight="1" x14ac:dyDescent="0.35"/>
    <row r="322" ht="14.25" customHeight="1" x14ac:dyDescent="0.35"/>
    <row r="323" ht="14.25" customHeight="1" x14ac:dyDescent="0.35"/>
    <row r="324" ht="14.25" customHeight="1" x14ac:dyDescent="0.35"/>
    <row r="325" ht="14.25" customHeight="1" x14ac:dyDescent="0.35"/>
    <row r="326" ht="14.25" customHeight="1" x14ac:dyDescent="0.35"/>
    <row r="327" ht="14.25" customHeight="1" x14ac:dyDescent="0.35"/>
    <row r="328" ht="14.25" customHeight="1" x14ac:dyDescent="0.35"/>
    <row r="329" ht="14.25" customHeight="1" x14ac:dyDescent="0.35"/>
    <row r="330" ht="14.25" customHeight="1" x14ac:dyDescent="0.35"/>
    <row r="331" ht="14.25" customHeight="1" x14ac:dyDescent="0.35"/>
    <row r="332" ht="14.25" customHeight="1" x14ac:dyDescent="0.35"/>
    <row r="333" ht="14.25" customHeight="1" x14ac:dyDescent="0.35"/>
    <row r="334" ht="14.25" customHeight="1" x14ac:dyDescent="0.35"/>
    <row r="335" ht="14.25" customHeight="1" x14ac:dyDescent="0.35"/>
    <row r="336" ht="14.25" customHeight="1" x14ac:dyDescent="0.35"/>
    <row r="337" ht="14.25" customHeight="1" x14ac:dyDescent="0.35"/>
    <row r="338" ht="14.25" customHeight="1" x14ac:dyDescent="0.35"/>
    <row r="339" ht="14.25" customHeight="1" x14ac:dyDescent="0.35"/>
    <row r="340" ht="14.25" customHeight="1" x14ac:dyDescent="0.35"/>
    <row r="341" ht="14.25" customHeight="1" x14ac:dyDescent="0.35"/>
    <row r="342" ht="14.25" customHeight="1" x14ac:dyDescent="0.35"/>
    <row r="343" ht="14.25" customHeight="1" x14ac:dyDescent="0.35"/>
    <row r="344" ht="14.25" customHeight="1" x14ac:dyDescent="0.35"/>
    <row r="345" ht="14.25" customHeight="1" x14ac:dyDescent="0.35"/>
    <row r="346" ht="14.25" customHeight="1" x14ac:dyDescent="0.35"/>
    <row r="347" ht="14.25" customHeight="1" x14ac:dyDescent="0.35"/>
    <row r="348" ht="14.25" customHeight="1" x14ac:dyDescent="0.35"/>
    <row r="349" ht="14.25" customHeight="1" x14ac:dyDescent="0.35"/>
    <row r="350" ht="14.25" customHeight="1" x14ac:dyDescent="0.35"/>
    <row r="351" ht="14.25" customHeight="1" x14ac:dyDescent="0.35"/>
    <row r="352" ht="14.25" customHeight="1" x14ac:dyDescent="0.35"/>
    <row r="353" ht="14.25" customHeight="1" x14ac:dyDescent="0.35"/>
    <row r="354" ht="14.25" customHeight="1" x14ac:dyDescent="0.35"/>
    <row r="355" ht="14.25" customHeight="1" x14ac:dyDescent="0.35"/>
    <row r="356" ht="14.25" customHeight="1" x14ac:dyDescent="0.35"/>
    <row r="357" ht="14.25" customHeight="1" x14ac:dyDescent="0.35"/>
    <row r="358" ht="14.25" customHeight="1" x14ac:dyDescent="0.35"/>
    <row r="359" ht="14.25" customHeight="1" x14ac:dyDescent="0.35"/>
    <row r="360" ht="14.25" customHeight="1" x14ac:dyDescent="0.35"/>
    <row r="361" ht="14.25" customHeight="1" x14ac:dyDescent="0.35"/>
    <row r="362" ht="14.25" customHeight="1" x14ac:dyDescent="0.35"/>
    <row r="363" ht="14.25" customHeight="1" x14ac:dyDescent="0.35"/>
    <row r="364" ht="14.25" customHeight="1" x14ac:dyDescent="0.35"/>
    <row r="365" ht="14.25" customHeight="1" x14ac:dyDescent="0.35"/>
    <row r="366" ht="14.25" customHeight="1" x14ac:dyDescent="0.35"/>
    <row r="367" ht="14.25" customHeight="1" x14ac:dyDescent="0.35"/>
    <row r="368" ht="14.25" customHeight="1" x14ac:dyDescent="0.35"/>
    <row r="369" ht="14.25" customHeight="1" x14ac:dyDescent="0.35"/>
    <row r="370" ht="14.25" customHeight="1" x14ac:dyDescent="0.35"/>
    <row r="371" ht="14.25" customHeight="1" x14ac:dyDescent="0.35"/>
    <row r="372" ht="14.25" customHeight="1" x14ac:dyDescent="0.35"/>
    <row r="373" ht="14.25" customHeight="1" x14ac:dyDescent="0.35"/>
    <row r="374" ht="14.25" customHeight="1" x14ac:dyDescent="0.35"/>
    <row r="375" ht="14.25" customHeight="1" x14ac:dyDescent="0.35"/>
    <row r="376" ht="14.25" customHeight="1" x14ac:dyDescent="0.35"/>
    <row r="377" ht="14.25" customHeight="1" x14ac:dyDescent="0.35"/>
    <row r="378" ht="14.25" customHeight="1" x14ac:dyDescent="0.35"/>
    <row r="379" ht="14.25" customHeight="1" x14ac:dyDescent="0.35"/>
    <row r="380" ht="14.25" customHeight="1" x14ac:dyDescent="0.35"/>
    <row r="381" ht="14.25" customHeight="1" x14ac:dyDescent="0.35"/>
    <row r="382" ht="14.25" customHeight="1" x14ac:dyDescent="0.35"/>
    <row r="383" ht="14.25" customHeight="1" x14ac:dyDescent="0.35"/>
    <row r="384" ht="14.25" customHeight="1" x14ac:dyDescent="0.35"/>
    <row r="385" ht="14.25" customHeight="1" x14ac:dyDescent="0.35"/>
    <row r="386" ht="14.25" customHeight="1" x14ac:dyDescent="0.35"/>
    <row r="387" ht="14.25" customHeight="1" x14ac:dyDescent="0.35"/>
    <row r="388" ht="14.25" customHeight="1" x14ac:dyDescent="0.35"/>
    <row r="389" ht="14.25" customHeight="1" x14ac:dyDescent="0.35"/>
    <row r="390" ht="14.25" customHeight="1" x14ac:dyDescent="0.35"/>
    <row r="391" ht="14.25" customHeight="1" x14ac:dyDescent="0.35"/>
    <row r="392" ht="14.25" customHeight="1" x14ac:dyDescent="0.35"/>
    <row r="393" ht="14.25" customHeight="1" x14ac:dyDescent="0.35"/>
    <row r="394" ht="14.25" customHeight="1" x14ac:dyDescent="0.35"/>
    <row r="395" ht="14.25" customHeight="1" x14ac:dyDescent="0.35"/>
    <row r="396" ht="14.25" customHeight="1" x14ac:dyDescent="0.35"/>
    <row r="397" ht="14.25" customHeight="1" x14ac:dyDescent="0.35"/>
    <row r="398" ht="14.25" customHeight="1" x14ac:dyDescent="0.35"/>
    <row r="399" ht="14.25" customHeight="1" x14ac:dyDescent="0.35"/>
    <row r="400" ht="14.25" customHeight="1" x14ac:dyDescent="0.35"/>
    <row r="401" ht="14.25" customHeight="1" x14ac:dyDescent="0.35"/>
    <row r="402" ht="14.25" customHeight="1" x14ac:dyDescent="0.35"/>
    <row r="403" ht="14.25" customHeight="1" x14ac:dyDescent="0.35"/>
    <row r="404" ht="14.25" customHeight="1" x14ac:dyDescent="0.35"/>
    <row r="405" ht="14.25" customHeight="1" x14ac:dyDescent="0.35"/>
    <row r="406" ht="14.25" customHeight="1" x14ac:dyDescent="0.35"/>
    <row r="407" ht="14.25" customHeight="1" x14ac:dyDescent="0.35"/>
    <row r="408" ht="14.25" customHeight="1" x14ac:dyDescent="0.35"/>
    <row r="409" ht="14.25" customHeight="1" x14ac:dyDescent="0.35"/>
    <row r="410" ht="14.25" customHeight="1" x14ac:dyDescent="0.35"/>
    <row r="411" ht="14.25" customHeight="1" x14ac:dyDescent="0.35"/>
    <row r="412" ht="14.25" customHeight="1" x14ac:dyDescent="0.35"/>
    <row r="413" ht="14.25" customHeight="1" x14ac:dyDescent="0.35"/>
    <row r="414" ht="14.25" customHeight="1" x14ac:dyDescent="0.35"/>
    <row r="415" ht="14.25" customHeight="1" x14ac:dyDescent="0.35"/>
    <row r="416" ht="14.25" customHeight="1" x14ac:dyDescent="0.35"/>
    <row r="417" ht="14.25" customHeight="1" x14ac:dyDescent="0.35"/>
    <row r="418" ht="14.25" customHeight="1" x14ac:dyDescent="0.35"/>
    <row r="419" ht="14.25" customHeight="1" x14ac:dyDescent="0.35"/>
    <row r="420" ht="14.25" customHeight="1" x14ac:dyDescent="0.35"/>
    <row r="421" ht="14.25" customHeight="1" x14ac:dyDescent="0.35"/>
    <row r="422" ht="14.25" customHeight="1" x14ac:dyDescent="0.35"/>
    <row r="423" ht="14.25" customHeight="1" x14ac:dyDescent="0.35"/>
    <row r="424" ht="14.25" customHeight="1" x14ac:dyDescent="0.35"/>
    <row r="425" ht="14.25" customHeight="1" x14ac:dyDescent="0.35"/>
    <row r="426" ht="14.25" customHeight="1" x14ac:dyDescent="0.35"/>
    <row r="427" ht="14.25" customHeight="1" x14ac:dyDescent="0.35"/>
    <row r="428" ht="14.25" customHeight="1" x14ac:dyDescent="0.35"/>
    <row r="429" ht="14.25" customHeight="1" x14ac:dyDescent="0.35"/>
    <row r="430" ht="14.25" customHeight="1" x14ac:dyDescent="0.35"/>
    <row r="431" ht="14.25" customHeight="1" x14ac:dyDescent="0.35"/>
    <row r="432" ht="14.25" customHeight="1" x14ac:dyDescent="0.35"/>
    <row r="433" ht="14.25" customHeight="1" x14ac:dyDescent="0.35"/>
    <row r="434" ht="14.25" customHeight="1" x14ac:dyDescent="0.35"/>
    <row r="435" ht="14.25" customHeight="1" x14ac:dyDescent="0.35"/>
    <row r="436" ht="14.25" customHeight="1" x14ac:dyDescent="0.35"/>
    <row r="437" ht="14.25" customHeight="1" x14ac:dyDescent="0.35"/>
    <row r="438" ht="14.25" customHeight="1" x14ac:dyDescent="0.35"/>
    <row r="439" ht="14.25" customHeight="1" x14ac:dyDescent="0.35"/>
    <row r="440" ht="14.25" customHeight="1" x14ac:dyDescent="0.35"/>
    <row r="441" ht="14.25" customHeight="1" x14ac:dyDescent="0.35"/>
    <row r="442" ht="14.25" customHeight="1" x14ac:dyDescent="0.35"/>
    <row r="443" ht="14.25" customHeight="1" x14ac:dyDescent="0.35"/>
    <row r="444" ht="14.25" customHeight="1" x14ac:dyDescent="0.35"/>
    <row r="445" ht="14.25" customHeight="1" x14ac:dyDescent="0.35"/>
    <row r="446" ht="14.25" customHeight="1" x14ac:dyDescent="0.35"/>
    <row r="447" ht="14.25" customHeight="1" x14ac:dyDescent="0.35"/>
    <row r="448" ht="14.25" customHeight="1" x14ac:dyDescent="0.35"/>
    <row r="449" ht="14.25" customHeight="1" x14ac:dyDescent="0.35"/>
    <row r="450" ht="14.25" customHeight="1" x14ac:dyDescent="0.35"/>
    <row r="451" ht="14.25" customHeight="1" x14ac:dyDescent="0.35"/>
    <row r="452" ht="14.25" customHeight="1" x14ac:dyDescent="0.35"/>
    <row r="453" ht="14.25" customHeight="1" x14ac:dyDescent="0.35"/>
    <row r="454" ht="14.25" customHeight="1" x14ac:dyDescent="0.35"/>
    <row r="455" ht="14.25" customHeight="1" x14ac:dyDescent="0.35"/>
    <row r="456" ht="14.25" customHeight="1" x14ac:dyDescent="0.35"/>
    <row r="457" ht="14.25" customHeight="1" x14ac:dyDescent="0.35"/>
    <row r="458" ht="14.25" customHeight="1" x14ac:dyDescent="0.35"/>
    <row r="459" ht="14.25" customHeight="1" x14ac:dyDescent="0.35"/>
    <row r="460" ht="14.25" customHeight="1" x14ac:dyDescent="0.35"/>
    <row r="461" ht="14.25" customHeight="1" x14ac:dyDescent="0.35"/>
    <row r="462" ht="14.25" customHeight="1" x14ac:dyDescent="0.35"/>
    <row r="463" ht="14.25" customHeight="1" x14ac:dyDescent="0.35"/>
    <row r="464" ht="14.25" customHeight="1" x14ac:dyDescent="0.35"/>
    <row r="465" ht="14.25" customHeight="1" x14ac:dyDescent="0.35"/>
    <row r="466" ht="14.25" customHeight="1" x14ac:dyDescent="0.35"/>
    <row r="467" ht="14.25" customHeight="1" x14ac:dyDescent="0.35"/>
    <row r="468" ht="14.25" customHeight="1" x14ac:dyDescent="0.35"/>
    <row r="469" ht="14.25" customHeight="1" x14ac:dyDescent="0.35"/>
    <row r="470" ht="14.25" customHeight="1" x14ac:dyDescent="0.35"/>
    <row r="471" ht="14.25" customHeight="1" x14ac:dyDescent="0.35"/>
    <row r="472" ht="14.25" customHeight="1" x14ac:dyDescent="0.35"/>
    <row r="473" ht="14.25" customHeight="1" x14ac:dyDescent="0.35"/>
    <row r="474" ht="14.25" customHeight="1" x14ac:dyDescent="0.35"/>
    <row r="475" ht="14.25" customHeight="1" x14ac:dyDescent="0.35"/>
    <row r="476" ht="14.25" customHeight="1" x14ac:dyDescent="0.35"/>
    <row r="477" ht="14.25" customHeight="1" x14ac:dyDescent="0.35"/>
    <row r="478" ht="14.25" customHeight="1" x14ac:dyDescent="0.35"/>
    <row r="479" ht="14.25" customHeight="1" x14ac:dyDescent="0.35"/>
    <row r="480" ht="14.25" customHeight="1" x14ac:dyDescent="0.35"/>
    <row r="481" ht="14.25" customHeight="1" x14ac:dyDescent="0.35"/>
    <row r="482" ht="14.25" customHeight="1" x14ac:dyDescent="0.35"/>
    <row r="483" ht="14.25" customHeight="1" x14ac:dyDescent="0.35"/>
    <row r="484" ht="14.25" customHeight="1" x14ac:dyDescent="0.35"/>
    <row r="485" ht="14.25" customHeight="1" x14ac:dyDescent="0.35"/>
    <row r="486" ht="14.25" customHeight="1" x14ac:dyDescent="0.35"/>
    <row r="487" ht="14.25" customHeight="1" x14ac:dyDescent="0.35"/>
    <row r="488" ht="14.25" customHeight="1" x14ac:dyDescent="0.35"/>
    <row r="489" ht="14.25" customHeight="1" x14ac:dyDescent="0.35"/>
    <row r="490" ht="14.25" customHeight="1" x14ac:dyDescent="0.35"/>
    <row r="491" ht="14.25" customHeight="1" x14ac:dyDescent="0.35"/>
    <row r="492" ht="14.25" customHeight="1" x14ac:dyDescent="0.35"/>
    <row r="493" ht="14.25" customHeight="1" x14ac:dyDescent="0.35"/>
    <row r="494" ht="14.25" customHeight="1" x14ac:dyDescent="0.35"/>
    <row r="495" ht="14.25" customHeight="1" x14ac:dyDescent="0.35"/>
    <row r="496" ht="14.25" customHeight="1" x14ac:dyDescent="0.35"/>
    <row r="497" ht="14.25" customHeight="1" x14ac:dyDescent="0.35"/>
    <row r="498" ht="14.25" customHeight="1" x14ac:dyDescent="0.35"/>
    <row r="499" ht="14.25" customHeight="1" x14ac:dyDescent="0.35"/>
    <row r="500" ht="14.25" customHeight="1" x14ac:dyDescent="0.35"/>
    <row r="501" ht="14.25" customHeight="1" x14ac:dyDescent="0.35"/>
    <row r="502" ht="14.25" customHeight="1" x14ac:dyDescent="0.35"/>
    <row r="503" ht="14.25" customHeight="1" x14ac:dyDescent="0.35"/>
    <row r="504" ht="14.25" customHeight="1" x14ac:dyDescent="0.35"/>
    <row r="505" ht="14.25" customHeight="1" x14ac:dyDescent="0.35"/>
    <row r="506" ht="14.25" customHeight="1" x14ac:dyDescent="0.35"/>
    <row r="507" ht="14.25" customHeight="1" x14ac:dyDescent="0.35"/>
    <row r="508" ht="14.25" customHeight="1" x14ac:dyDescent="0.35"/>
    <row r="509" ht="14.25" customHeight="1" x14ac:dyDescent="0.35"/>
    <row r="510" ht="14.25" customHeight="1" x14ac:dyDescent="0.35"/>
    <row r="511" ht="14.25" customHeight="1" x14ac:dyDescent="0.35"/>
    <row r="512" ht="14.25" customHeight="1" x14ac:dyDescent="0.35"/>
    <row r="513" ht="14.25" customHeight="1" x14ac:dyDescent="0.35"/>
    <row r="514" ht="14.25" customHeight="1" x14ac:dyDescent="0.35"/>
    <row r="515" ht="14.25" customHeight="1" x14ac:dyDescent="0.35"/>
    <row r="516" ht="14.25" customHeight="1" x14ac:dyDescent="0.35"/>
    <row r="517" ht="14.25" customHeight="1" x14ac:dyDescent="0.35"/>
    <row r="518" ht="14.25" customHeight="1" x14ac:dyDescent="0.35"/>
    <row r="519" ht="14.25" customHeight="1" x14ac:dyDescent="0.35"/>
    <row r="520" ht="14.25" customHeight="1" x14ac:dyDescent="0.35"/>
    <row r="521" ht="14.25" customHeight="1" x14ac:dyDescent="0.35"/>
    <row r="522" ht="14.25" customHeight="1" x14ac:dyDescent="0.35"/>
    <row r="523" ht="14.25" customHeight="1" x14ac:dyDescent="0.35"/>
    <row r="524" ht="14.25" customHeight="1" x14ac:dyDescent="0.35"/>
    <row r="525" ht="14.25" customHeight="1" x14ac:dyDescent="0.35"/>
    <row r="526" ht="14.25" customHeight="1" x14ac:dyDescent="0.35"/>
    <row r="527" ht="14.25" customHeight="1" x14ac:dyDescent="0.35"/>
    <row r="528" ht="14.25" customHeight="1" x14ac:dyDescent="0.35"/>
    <row r="529" ht="14.25" customHeight="1" x14ac:dyDescent="0.35"/>
    <row r="530" ht="14.25" customHeight="1" x14ac:dyDescent="0.35"/>
    <row r="531" ht="14.25" customHeight="1" x14ac:dyDescent="0.35"/>
    <row r="532" ht="14.25" customHeight="1" x14ac:dyDescent="0.35"/>
    <row r="533" ht="14.25" customHeight="1" x14ac:dyDescent="0.35"/>
    <row r="534" ht="14.25" customHeight="1" x14ac:dyDescent="0.35"/>
    <row r="535" ht="14.25" customHeight="1" x14ac:dyDescent="0.35"/>
    <row r="536" ht="14.25" customHeight="1" x14ac:dyDescent="0.35"/>
    <row r="537" ht="14.25" customHeight="1" x14ac:dyDescent="0.35"/>
    <row r="538" ht="14.25" customHeight="1" x14ac:dyDescent="0.35"/>
    <row r="539" ht="14.25" customHeight="1" x14ac:dyDescent="0.35"/>
    <row r="540" ht="14.25" customHeight="1" x14ac:dyDescent="0.35"/>
    <row r="541" ht="14.25" customHeight="1" x14ac:dyDescent="0.35"/>
    <row r="542" ht="14.25" customHeight="1" x14ac:dyDescent="0.35"/>
    <row r="543" ht="14.25" customHeight="1" x14ac:dyDescent="0.35"/>
    <row r="544" ht="14.25" customHeight="1" x14ac:dyDescent="0.35"/>
    <row r="545" ht="14.25" customHeight="1" x14ac:dyDescent="0.35"/>
    <row r="546" ht="14.25" customHeight="1" x14ac:dyDescent="0.35"/>
    <row r="547" ht="14.25" customHeight="1" x14ac:dyDescent="0.35"/>
    <row r="548" ht="14.25" customHeight="1" x14ac:dyDescent="0.35"/>
    <row r="549" ht="14.25" customHeight="1" x14ac:dyDescent="0.35"/>
    <row r="550" ht="14.25" customHeight="1" x14ac:dyDescent="0.35"/>
    <row r="551" ht="14.25" customHeight="1" x14ac:dyDescent="0.35"/>
    <row r="552" ht="14.25" customHeight="1" x14ac:dyDescent="0.35"/>
    <row r="553" ht="14.25" customHeight="1" x14ac:dyDescent="0.35"/>
    <row r="554" ht="14.25" customHeight="1" x14ac:dyDescent="0.35"/>
    <row r="555" ht="14.25" customHeight="1" x14ac:dyDescent="0.35"/>
    <row r="556" ht="14.25" customHeight="1" x14ac:dyDescent="0.35"/>
    <row r="557" ht="14.25" customHeight="1" x14ac:dyDescent="0.35"/>
    <row r="558" ht="14.25" customHeight="1" x14ac:dyDescent="0.35"/>
    <row r="559" ht="14.25" customHeight="1" x14ac:dyDescent="0.35"/>
    <row r="560" ht="14.25" customHeight="1" x14ac:dyDescent="0.35"/>
    <row r="561" ht="14.25" customHeight="1" x14ac:dyDescent="0.35"/>
    <row r="562" ht="14.25" customHeight="1" x14ac:dyDescent="0.35"/>
    <row r="563" ht="14.25" customHeight="1" x14ac:dyDescent="0.35"/>
    <row r="564" ht="14.25" customHeight="1" x14ac:dyDescent="0.35"/>
    <row r="565" ht="14.25" customHeight="1" x14ac:dyDescent="0.35"/>
    <row r="566" ht="14.25" customHeight="1" x14ac:dyDescent="0.35"/>
    <row r="567" ht="14.25" customHeight="1" x14ac:dyDescent="0.35"/>
    <row r="568" ht="14.25" customHeight="1" x14ac:dyDescent="0.35"/>
    <row r="569" ht="14.25" customHeight="1" x14ac:dyDescent="0.35"/>
    <row r="570" ht="14.25" customHeight="1" x14ac:dyDescent="0.35"/>
    <row r="571" ht="14.25" customHeight="1" x14ac:dyDescent="0.35"/>
    <row r="572" ht="14.25" customHeight="1" x14ac:dyDescent="0.35"/>
    <row r="573" ht="14.25" customHeight="1" x14ac:dyDescent="0.35"/>
    <row r="574" ht="14.25" customHeight="1" x14ac:dyDescent="0.35"/>
    <row r="575" ht="14.25" customHeight="1" x14ac:dyDescent="0.35"/>
    <row r="576" ht="14.25" customHeight="1" x14ac:dyDescent="0.35"/>
    <row r="577" ht="14.25" customHeight="1" x14ac:dyDescent="0.35"/>
    <row r="578" ht="14.25" customHeight="1" x14ac:dyDescent="0.35"/>
    <row r="579" ht="14.25" customHeight="1" x14ac:dyDescent="0.35"/>
    <row r="580" ht="14.25" customHeight="1" x14ac:dyDescent="0.35"/>
    <row r="581" ht="14.25" customHeight="1" x14ac:dyDescent="0.35"/>
    <row r="582" ht="14.25" customHeight="1" x14ac:dyDescent="0.35"/>
    <row r="583" ht="14.25" customHeight="1" x14ac:dyDescent="0.35"/>
    <row r="584" ht="14.25" customHeight="1" x14ac:dyDescent="0.35"/>
    <row r="585" ht="14.25" customHeight="1" x14ac:dyDescent="0.35"/>
    <row r="586" ht="14.25" customHeight="1" x14ac:dyDescent="0.35"/>
    <row r="587" ht="14.25" customHeight="1" x14ac:dyDescent="0.35"/>
    <row r="588" ht="14.25" customHeight="1" x14ac:dyDescent="0.35"/>
    <row r="589" ht="14.25" customHeight="1" x14ac:dyDescent="0.35"/>
    <row r="590" ht="14.25" customHeight="1" x14ac:dyDescent="0.35"/>
    <row r="591" ht="14.25" customHeight="1" x14ac:dyDescent="0.35"/>
    <row r="592" ht="14.25" customHeight="1" x14ac:dyDescent="0.35"/>
    <row r="593" ht="14.25" customHeight="1" x14ac:dyDescent="0.35"/>
    <row r="594" ht="14.25" customHeight="1" x14ac:dyDescent="0.35"/>
    <row r="595" ht="14.25" customHeight="1" x14ac:dyDescent="0.35"/>
    <row r="596" ht="14.25" customHeight="1" x14ac:dyDescent="0.35"/>
    <row r="597" ht="14.25" customHeight="1" x14ac:dyDescent="0.35"/>
    <row r="598" ht="14.25" customHeight="1" x14ac:dyDescent="0.35"/>
    <row r="599" ht="14.25" customHeight="1" x14ac:dyDescent="0.35"/>
    <row r="600" ht="14.25" customHeight="1" x14ac:dyDescent="0.35"/>
    <row r="601" ht="14.25" customHeight="1" x14ac:dyDescent="0.35"/>
    <row r="602" ht="14.25" customHeight="1" x14ac:dyDescent="0.35"/>
    <row r="603" ht="14.25" customHeight="1" x14ac:dyDescent="0.35"/>
    <row r="604" ht="14.25" customHeight="1" x14ac:dyDescent="0.35"/>
    <row r="605" ht="14.25" customHeight="1" x14ac:dyDescent="0.35"/>
    <row r="606" ht="14.25" customHeight="1" x14ac:dyDescent="0.35"/>
    <row r="607" ht="14.25" customHeight="1" x14ac:dyDescent="0.35"/>
    <row r="608" ht="14.25" customHeight="1" x14ac:dyDescent="0.35"/>
    <row r="609" ht="14.25" customHeight="1" x14ac:dyDescent="0.35"/>
    <row r="610" ht="14.25" customHeight="1" x14ac:dyDescent="0.35"/>
    <row r="611" ht="14.25" customHeight="1" x14ac:dyDescent="0.35"/>
    <row r="612" ht="14.25" customHeight="1" x14ac:dyDescent="0.35"/>
    <row r="613" ht="14.25" customHeight="1" x14ac:dyDescent="0.35"/>
    <row r="614" ht="14.25" customHeight="1" x14ac:dyDescent="0.35"/>
    <row r="615" ht="14.25" customHeight="1" x14ac:dyDescent="0.35"/>
    <row r="616" ht="14.25" customHeight="1" x14ac:dyDescent="0.35"/>
    <row r="617" ht="14.25" customHeight="1" x14ac:dyDescent="0.35"/>
    <row r="618" ht="14.25" customHeight="1" x14ac:dyDescent="0.35"/>
    <row r="619" ht="14.25" customHeight="1" x14ac:dyDescent="0.35"/>
    <row r="620" ht="14.25" customHeight="1" x14ac:dyDescent="0.35"/>
    <row r="621" ht="14.25" customHeight="1" x14ac:dyDescent="0.35"/>
    <row r="622" ht="14.25" customHeight="1" x14ac:dyDescent="0.35"/>
    <row r="623" ht="14.25" customHeight="1" x14ac:dyDescent="0.35"/>
    <row r="624" ht="14.25" customHeight="1" x14ac:dyDescent="0.35"/>
    <row r="625" ht="14.25" customHeight="1" x14ac:dyDescent="0.35"/>
    <row r="626" ht="14.25" customHeight="1" x14ac:dyDescent="0.35"/>
    <row r="627" ht="14.25" customHeight="1" x14ac:dyDescent="0.35"/>
    <row r="628" ht="14.25" customHeight="1" x14ac:dyDescent="0.35"/>
    <row r="629" ht="14.25" customHeight="1" x14ac:dyDescent="0.35"/>
    <row r="630" ht="14.25" customHeight="1" x14ac:dyDescent="0.35"/>
    <row r="631" ht="14.25" customHeight="1" x14ac:dyDescent="0.35"/>
    <row r="632" ht="14.25" customHeight="1" x14ac:dyDescent="0.35"/>
    <row r="633" ht="14.25" customHeight="1" x14ac:dyDescent="0.35"/>
    <row r="634" ht="14.25" customHeight="1" x14ac:dyDescent="0.35"/>
    <row r="635" ht="14.25" customHeight="1" x14ac:dyDescent="0.35"/>
    <row r="636" ht="14.25" customHeight="1" x14ac:dyDescent="0.35"/>
    <row r="637" ht="14.25" customHeight="1" x14ac:dyDescent="0.35"/>
    <row r="638" ht="14.25" customHeight="1" x14ac:dyDescent="0.35"/>
    <row r="639" ht="14.25" customHeight="1" x14ac:dyDescent="0.35"/>
    <row r="640" ht="14.25" customHeight="1" x14ac:dyDescent="0.35"/>
    <row r="641" ht="14.25" customHeight="1" x14ac:dyDescent="0.35"/>
    <row r="642" ht="14.25" customHeight="1" x14ac:dyDescent="0.35"/>
    <row r="643" ht="14.25" customHeight="1" x14ac:dyDescent="0.35"/>
    <row r="644" ht="14.25" customHeight="1" x14ac:dyDescent="0.35"/>
    <row r="645" ht="14.25" customHeight="1" x14ac:dyDescent="0.35"/>
    <row r="646" ht="14.25" customHeight="1" x14ac:dyDescent="0.35"/>
    <row r="647" ht="14.25" customHeight="1" x14ac:dyDescent="0.35"/>
    <row r="648" ht="14.25" customHeight="1" x14ac:dyDescent="0.35"/>
    <row r="649" ht="14.25" customHeight="1" x14ac:dyDescent="0.35"/>
    <row r="650" ht="14.25" customHeight="1" x14ac:dyDescent="0.35"/>
    <row r="651" ht="14.25" customHeight="1" x14ac:dyDescent="0.35"/>
    <row r="652" ht="14.25" customHeight="1" x14ac:dyDescent="0.35"/>
    <row r="653" ht="14.25" customHeight="1" x14ac:dyDescent="0.35"/>
    <row r="654" ht="14.25" customHeight="1" x14ac:dyDescent="0.35"/>
    <row r="655" ht="14.25" customHeight="1" x14ac:dyDescent="0.35"/>
    <row r="656" ht="14.25" customHeight="1" x14ac:dyDescent="0.35"/>
    <row r="657" ht="14.25" customHeight="1" x14ac:dyDescent="0.35"/>
    <row r="658" ht="14.25" customHeight="1" x14ac:dyDescent="0.35"/>
    <row r="659" ht="14.25" customHeight="1" x14ac:dyDescent="0.35"/>
    <row r="660" ht="14.25" customHeight="1" x14ac:dyDescent="0.35"/>
    <row r="661" ht="14.25" customHeight="1" x14ac:dyDescent="0.35"/>
    <row r="662" ht="14.25" customHeight="1" x14ac:dyDescent="0.35"/>
    <row r="663" ht="14.25" customHeight="1" x14ac:dyDescent="0.35"/>
    <row r="664" ht="14.25" customHeight="1" x14ac:dyDescent="0.35"/>
    <row r="665" ht="14.25" customHeight="1" x14ac:dyDescent="0.35"/>
    <row r="666" ht="14.25" customHeight="1" x14ac:dyDescent="0.35"/>
    <row r="667" ht="14.25" customHeight="1" x14ac:dyDescent="0.35"/>
    <row r="668" ht="14.25" customHeight="1" x14ac:dyDescent="0.35"/>
    <row r="669" ht="14.25" customHeight="1" x14ac:dyDescent="0.35"/>
    <row r="670" ht="14.25" customHeight="1" x14ac:dyDescent="0.35"/>
    <row r="671" ht="14.25" customHeight="1" x14ac:dyDescent="0.35"/>
    <row r="672" ht="14.25" customHeight="1" x14ac:dyDescent="0.35"/>
    <row r="673" ht="14.25" customHeight="1" x14ac:dyDescent="0.35"/>
    <row r="674" ht="14.25" customHeight="1" x14ac:dyDescent="0.35"/>
    <row r="675" ht="14.25" customHeight="1" x14ac:dyDescent="0.35"/>
    <row r="676" ht="14.25" customHeight="1" x14ac:dyDescent="0.35"/>
    <row r="677" ht="14.25" customHeight="1" x14ac:dyDescent="0.35"/>
    <row r="678" ht="14.25" customHeight="1" x14ac:dyDescent="0.35"/>
    <row r="679" ht="14.25" customHeight="1" x14ac:dyDescent="0.35"/>
    <row r="680" ht="14.25" customHeight="1" x14ac:dyDescent="0.35"/>
    <row r="681" ht="14.25" customHeight="1" x14ac:dyDescent="0.35"/>
    <row r="682" ht="14.25" customHeight="1" x14ac:dyDescent="0.35"/>
    <row r="683" ht="14.25" customHeight="1" x14ac:dyDescent="0.35"/>
    <row r="684" ht="14.25" customHeight="1" x14ac:dyDescent="0.35"/>
    <row r="685" ht="14.25" customHeight="1" x14ac:dyDescent="0.35"/>
    <row r="686" ht="14.25" customHeight="1" x14ac:dyDescent="0.35"/>
    <row r="687" ht="14.25" customHeight="1" x14ac:dyDescent="0.35"/>
    <row r="688" ht="14.25" customHeight="1" x14ac:dyDescent="0.35"/>
    <row r="689" ht="14.25" customHeight="1" x14ac:dyDescent="0.35"/>
    <row r="690" ht="14.25" customHeight="1" x14ac:dyDescent="0.35"/>
    <row r="691" ht="14.25" customHeight="1" x14ac:dyDescent="0.35"/>
    <row r="692" ht="14.25" customHeight="1" x14ac:dyDescent="0.35"/>
    <row r="693" ht="14.25" customHeight="1" x14ac:dyDescent="0.35"/>
    <row r="694" ht="14.25" customHeight="1" x14ac:dyDescent="0.35"/>
    <row r="695" ht="14.25" customHeight="1" x14ac:dyDescent="0.35"/>
    <row r="696" ht="14.25" customHeight="1" x14ac:dyDescent="0.35"/>
    <row r="697" ht="14.25" customHeight="1" x14ac:dyDescent="0.35"/>
    <row r="698" ht="14.25" customHeight="1" x14ac:dyDescent="0.35"/>
    <row r="699" ht="14.25" customHeight="1" x14ac:dyDescent="0.35"/>
    <row r="700" ht="14.25" customHeight="1" x14ac:dyDescent="0.35"/>
    <row r="701" ht="14.25" customHeight="1" x14ac:dyDescent="0.35"/>
    <row r="702" ht="14.25" customHeight="1" x14ac:dyDescent="0.35"/>
    <row r="703" ht="14.25" customHeight="1" x14ac:dyDescent="0.35"/>
    <row r="704" ht="14.25" customHeight="1" x14ac:dyDescent="0.35"/>
    <row r="705" ht="14.25" customHeight="1" x14ac:dyDescent="0.35"/>
    <row r="706" ht="14.25" customHeight="1" x14ac:dyDescent="0.35"/>
    <row r="707" ht="14.25" customHeight="1" x14ac:dyDescent="0.35"/>
    <row r="708" ht="14.25" customHeight="1" x14ac:dyDescent="0.35"/>
    <row r="709" ht="14.25" customHeight="1" x14ac:dyDescent="0.35"/>
    <row r="710" ht="14.25" customHeight="1" x14ac:dyDescent="0.35"/>
    <row r="711" ht="14.25" customHeight="1" x14ac:dyDescent="0.35"/>
    <row r="712" ht="14.25" customHeight="1" x14ac:dyDescent="0.35"/>
    <row r="713" ht="14.25" customHeight="1" x14ac:dyDescent="0.35"/>
    <row r="714" ht="14.25" customHeight="1" x14ac:dyDescent="0.35"/>
    <row r="715" ht="14.25" customHeight="1" x14ac:dyDescent="0.35"/>
    <row r="716" ht="14.25" customHeight="1" x14ac:dyDescent="0.35"/>
    <row r="717" ht="14.25" customHeight="1" x14ac:dyDescent="0.35"/>
    <row r="718" ht="14.25" customHeight="1" x14ac:dyDescent="0.35"/>
    <row r="719" ht="14.25" customHeight="1" x14ac:dyDescent="0.35"/>
    <row r="720" ht="14.25" customHeight="1" x14ac:dyDescent="0.35"/>
    <row r="721" ht="14.25" customHeight="1" x14ac:dyDescent="0.35"/>
    <row r="722" ht="14.25" customHeight="1" x14ac:dyDescent="0.35"/>
    <row r="723" ht="14.25" customHeight="1" x14ac:dyDescent="0.35"/>
    <row r="724" ht="14.25" customHeight="1" x14ac:dyDescent="0.35"/>
    <row r="725" ht="14.25" customHeight="1" x14ac:dyDescent="0.35"/>
    <row r="726" ht="14.25" customHeight="1" x14ac:dyDescent="0.35"/>
    <row r="727" ht="14.25" customHeight="1" x14ac:dyDescent="0.35"/>
    <row r="728" ht="14.25" customHeight="1" x14ac:dyDescent="0.35"/>
    <row r="729" ht="14.25" customHeight="1" x14ac:dyDescent="0.35"/>
    <row r="730" ht="14.25" customHeight="1" x14ac:dyDescent="0.35"/>
    <row r="731" ht="14.25" customHeight="1" x14ac:dyDescent="0.35"/>
    <row r="732" ht="14.25" customHeight="1" x14ac:dyDescent="0.35"/>
    <row r="733" ht="14.25" customHeight="1" x14ac:dyDescent="0.35"/>
    <row r="734" ht="14.25" customHeight="1" x14ac:dyDescent="0.35"/>
    <row r="735" ht="14.25" customHeight="1" x14ac:dyDescent="0.35"/>
    <row r="736" ht="14.25" customHeight="1" x14ac:dyDescent="0.35"/>
    <row r="737" ht="14.25" customHeight="1" x14ac:dyDescent="0.35"/>
    <row r="738" ht="14.25" customHeight="1" x14ac:dyDescent="0.35"/>
    <row r="739" ht="14.25" customHeight="1" x14ac:dyDescent="0.35"/>
    <row r="740" ht="14.25" customHeight="1" x14ac:dyDescent="0.35"/>
    <row r="741" ht="14.25" customHeight="1" x14ac:dyDescent="0.35"/>
    <row r="742" ht="14.25" customHeight="1" x14ac:dyDescent="0.35"/>
    <row r="743" ht="14.25" customHeight="1" x14ac:dyDescent="0.35"/>
    <row r="744" ht="14.25" customHeight="1" x14ac:dyDescent="0.35"/>
    <row r="745" ht="14.25" customHeight="1" x14ac:dyDescent="0.35"/>
    <row r="746" ht="14.25" customHeight="1" x14ac:dyDescent="0.35"/>
    <row r="747" ht="14.25" customHeight="1" x14ac:dyDescent="0.35"/>
    <row r="748" ht="14.25" customHeight="1" x14ac:dyDescent="0.35"/>
    <row r="749" ht="14.25" customHeight="1" x14ac:dyDescent="0.35"/>
    <row r="750" ht="14.25" customHeight="1" x14ac:dyDescent="0.35"/>
    <row r="751" ht="14.25" customHeight="1" x14ac:dyDescent="0.35"/>
    <row r="752" ht="14.25" customHeight="1" x14ac:dyDescent="0.35"/>
    <row r="753" ht="14.25" customHeight="1" x14ac:dyDescent="0.35"/>
    <row r="754" ht="14.25" customHeight="1" x14ac:dyDescent="0.35"/>
    <row r="755" ht="14.25" customHeight="1" x14ac:dyDescent="0.35"/>
    <row r="756" ht="14.25" customHeight="1" x14ac:dyDescent="0.35"/>
    <row r="757" ht="14.25" customHeight="1" x14ac:dyDescent="0.35"/>
    <row r="758" ht="14.25" customHeight="1" x14ac:dyDescent="0.35"/>
    <row r="759" ht="14.25" customHeight="1" x14ac:dyDescent="0.35"/>
    <row r="760" ht="14.25" customHeight="1" x14ac:dyDescent="0.35"/>
    <row r="761" ht="14.25" customHeight="1" x14ac:dyDescent="0.35"/>
    <row r="762" ht="14.25" customHeight="1" x14ac:dyDescent="0.35"/>
    <row r="763" ht="14.25" customHeight="1" x14ac:dyDescent="0.35"/>
    <row r="764" ht="14.25" customHeight="1" x14ac:dyDescent="0.35"/>
    <row r="765" ht="14.25" customHeight="1" x14ac:dyDescent="0.35"/>
    <row r="766" ht="14.25" customHeight="1" x14ac:dyDescent="0.35"/>
    <row r="767" ht="14.25" customHeight="1" x14ac:dyDescent="0.35"/>
    <row r="768" ht="14.25" customHeight="1" x14ac:dyDescent="0.35"/>
    <row r="769" ht="14.25" customHeight="1" x14ac:dyDescent="0.35"/>
    <row r="770" ht="14.25" customHeight="1" x14ac:dyDescent="0.35"/>
    <row r="771" ht="14.25" customHeight="1" x14ac:dyDescent="0.35"/>
    <row r="772" ht="14.25" customHeight="1" x14ac:dyDescent="0.35"/>
    <row r="773" ht="14.25" customHeight="1" x14ac:dyDescent="0.35"/>
    <row r="774" ht="14.25" customHeight="1" x14ac:dyDescent="0.35"/>
    <row r="775" ht="14.25" customHeight="1" x14ac:dyDescent="0.35"/>
    <row r="776" ht="14.25" customHeight="1" x14ac:dyDescent="0.35"/>
    <row r="777" ht="14.25" customHeight="1" x14ac:dyDescent="0.35"/>
    <row r="778" ht="14.25" customHeight="1" x14ac:dyDescent="0.35"/>
    <row r="779" ht="14.25" customHeight="1" x14ac:dyDescent="0.35"/>
    <row r="780" ht="14.25" customHeight="1" x14ac:dyDescent="0.35"/>
    <row r="781" ht="14.25" customHeight="1" x14ac:dyDescent="0.35"/>
    <row r="782" ht="14.25" customHeight="1" x14ac:dyDescent="0.35"/>
    <row r="783" ht="14.25" customHeight="1" x14ac:dyDescent="0.35"/>
    <row r="784" ht="14.25" customHeight="1" x14ac:dyDescent="0.35"/>
    <row r="785" ht="14.25" customHeight="1" x14ac:dyDescent="0.35"/>
    <row r="786" ht="14.25" customHeight="1" x14ac:dyDescent="0.35"/>
    <row r="787" ht="14.25" customHeight="1" x14ac:dyDescent="0.35"/>
    <row r="788" ht="14.25" customHeight="1" x14ac:dyDescent="0.35"/>
    <row r="789" ht="14.25" customHeight="1" x14ac:dyDescent="0.35"/>
    <row r="790" ht="14.25" customHeight="1" x14ac:dyDescent="0.35"/>
    <row r="791" ht="14.25" customHeight="1" x14ac:dyDescent="0.35"/>
    <row r="792" ht="14.25" customHeight="1" x14ac:dyDescent="0.35"/>
    <row r="793" ht="14.25" customHeight="1" x14ac:dyDescent="0.35"/>
    <row r="794" ht="14.25" customHeight="1" x14ac:dyDescent="0.35"/>
    <row r="795" ht="14.25" customHeight="1" x14ac:dyDescent="0.35"/>
    <row r="796" ht="14.25" customHeight="1" x14ac:dyDescent="0.35"/>
    <row r="797" ht="14.25" customHeight="1" x14ac:dyDescent="0.35"/>
    <row r="798" ht="14.25" customHeight="1" x14ac:dyDescent="0.35"/>
    <row r="799" ht="14.25" customHeight="1" x14ac:dyDescent="0.35"/>
    <row r="800" ht="14.25" customHeight="1" x14ac:dyDescent="0.35"/>
    <row r="801" ht="14.25" customHeight="1" x14ac:dyDescent="0.35"/>
    <row r="802" ht="14.25" customHeight="1" x14ac:dyDescent="0.35"/>
    <row r="803" ht="14.25" customHeight="1" x14ac:dyDescent="0.35"/>
    <row r="804" ht="14.25" customHeight="1" x14ac:dyDescent="0.35"/>
    <row r="805" ht="14.25" customHeight="1" x14ac:dyDescent="0.35"/>
    <row r="806" ht="14.25" customHeight="1" x14ac:dyDescent="0.35"/>
    <row r="807" ht="14.25" customHeight="1" x14ac:dyDescent="0.35"/>
    <row r="808" ht="14.25" customHeight="1" x14ac:dyDescent="0.35"/>
    <row r="809" ht="14.25" customHeight="1" x14ac:dyDescent="0.35"/>
    <row r="810" ht="14.25" customHeight="1" x14ac:dyDescent="0.35"/>
    <row r="811" ht="14.25" customHeight="1" x14ac:dyDescent="0.35"/>
    <row r="812" ht="14.25" customHeight="1" x14ac:dyDescent="0.35"/>
    <row r="813" ht="14.25" customHeight="1" x14ac:dyDescent="0.35"/>
    <row r="814" ht="14.25" customHeight="1" x14ac:dyDescent="0.35"/>
    <row r="815" ht="14.25" customHeight="1" x14ac:dyDescent="0.35"/>
    <row r="816" ht="14.25" customHeight="1" x14ac:dyDescent="0.35"/>
    <row r="817" ht="14.25" customHeight="1" x14ac:dyDescent="0.35"/>
    <row r="818" ht="14.25" customHeight="1" x14ac:dyDescent="0.35"/>
    <row r="819" ht="14.25" customHeight="1" x14ac:dyDescent="0.35"/>
    <row r="820" ht="14.25" customHeight="1" x14ac:dyDescent="0.35"/>
    <row r="821" ht="14.25" customHeight="1" x14ac:dyDescent="0.35"/>
    <row r="822" ht="14.25" customHeight="1" x14ac:dyDescent="0.35"/>
    <row r="823" ht="14.25" customHeight="1" x14ac:dyDescent="0.35"/>
    <row r="824" ht="14.25" customHeight="1" x14ac:dyDescent="0.35"/>
    <row r="825" ht="14.25" customHeight="1" x14ac:dyDescent="0.35"/>
    <row r="826" ht="14.25" customHeight="1" x14ac:dyDescent="0.35"/>
    <row r="827" ht="14.25" customHeight="1" x14ac:dyDescent="0.35"/>
    <row r="828" ht="14.25" customHeight="1" x14ac:dyDescent="0.35"/>
    <row r="829" ht="14.25" customHeight="1" x14ac:dyDescent="0.35"/>
    <row r="830" ht="14.25" customHeight="1" x14ac:dyDescent="0.35"/>
    <row r="831" ht="14.25" customHeight="1" x14ac:dyDescent="0.35"/>
    <row r="832" ht="14.25" customHeight="1" x14ac:dyDescent="0.35"/>
    <row r="833" ht="14.25" customHeight="1" x14ac:dyDescent="0.35"/>
    <row r="834" ht="14.25" customHeight="1" x14ac:dyDescent="0.35"/>
    <row r="835" ht="14.25" customHeight="1" x14ac:dyDescent="0.35"/>
    <row r="836" ht="14.25" customHeight="1" x14ac:dyDescent="0.35"/>
    <row r="837" ht="14.25" customHeight="1" x14ac:dyDescent="0.35"/>
    <row r="838" ht="14.25" customHeight="1" x14ac:dyDescent="0.35"/>
    <row r="839" ht="14.25" customHeight="1" x14ac:dyDescent="0.35"/>
    <row r="840" ht="14.25" customHeight="1" x14ac:dyDescent="0.35"/>
    <row r="841" ht="14.25" customHeight="1" x14ac:dyDescent="0.35"/>
    <row r="842" ht="14.25" customHeight="1" x14ac:dyDescent="0.35"/>
    <row r="843" ht="14.25" customHeight="1" x14ac:dyDescent="0.35"/>
    <row r="844" ht="14.25" customHeight="1" x14ac:dyDescent="0.35"/>
    <row r="845" ht="14.25" customHeight="1" x14ac:dyDescent="0.35"/>
    <row r="846" ht="14.25" customHeight="1" x14ac:dyDescent="0.35"/>
    <row r="847" ht="14.25" customHeight="1" x14ac:dyDescent="0.35"/>
    <row r="848" ht="14.25" customHeight="1" x14ac:dyDescent="0.35"/>
    <row r="849" ht="14.25" customHeight="1" x14ac:dyDescent="0.35"/>
    <row r="850" ht="14.25" customHeight="1" x14ac:dyDescent="0.35"/>
    <row r="851" ht="14.25" customHeight="1" x14ac:dyDescent="0.35"/>
    <row r="852" ht="14.25" customHeight="1" x14ac:dyDescent="0.35"/>
    <row r="853" ht="14.25" customHeight="1" x14ac:dyDescent="0.35"/>
    <row r="854" ht="14.25" customHeight="1" x14ac:dyDescent="0.35"/>
    <row r="855" ht="14.25" customHeight="1" x14ac:dyDescent="0.35"/>
    <row r="856" ht="14.25" customHeight="1" x14ac:dyDescent="0.35"/>
    <row r="857" ht="14.25" customHeight="1" x14ac:dyDescent="0.35"/>
    <row r="858" ht="14.25" customHeight="1" x14ac:dyDescent="0.35"/>
    <row r="859" ht="14.25" customHeight="1" x14ac:dyDescent="0.35"/>
    <row r="860" ht="14.25" customHeight="1" x14ac:dyDescent="0.35"/>
    <row r="861" ht="14.25" customHeight="1" x14ac:dyDescent="0.35"/>
    <row r="862" ht="14.25" customHeight="1" x14ac:dyDescent="0.35"/>
    <row r="863" ht="14.25" customHeight="1" x14ac:dyDescent="0.35"/>
    <row r="864" ht="14.25" customHeight="1" x14ac:dyDescent="0.35"/>
    <row r="865" ht="14.25" customHeight="1" x14ac:dyDescent="0.35"/>
    <row r="866" ht="14.25" customHeight="1" x14ac:dyDescent="0.35"/>
    <row r="867" ht="14.25" customHeight="1" x14ac:dyDescent="0.35"/>
    <row r="868" ht="14.25" customHeight="1" x14ac:dyDescent="0.35"/>
    <row r="869" ht="14.25" customHeight="1" x14ac:dyDescent="0.35"/>
    <row r="870" ht="14.25" customHeight="1" x14ac:dyDescent="0.35"/>
    <row r="871" ht="14.25" customHeight="1" x14ac:dyDescent="0.35"/>
    <row r="872" ht="14.25" customHeight="1" x14ac:dyDescent="0.35"/>
    <row r="873" ht="14.25" customHeight="1" x14ac:dyDescent="0.35"/>
    <row r="874" ht="14.25" customHeight="1" x14ac:dyDescent="0.35"/>
    <row r="875" ht="14.25" customHeight="1" x14ac:dyDescent="0.35"/>
    <row r="876" ht="14.25" customHeight="1" x14ac:dyDescent="0.35"/>
    <row r="877" ht="14.25" customHeight="1" x14ac:dyDescent="0.35"/>
    <row r="878" ht="14.25" customHeight="1" x14ac:dyDescent="0.35"/>
    <row r="879" ht="14.25" customHeight="1" x14ac:dyDescent="0.35"/>
    <row r="880" ht="14.25" customHeight="1" x14ac:dyDescent="0.35"/>
    <row r="881" ht="14.25" customHeight="1" x14ac:dyDescent="0.35"/>
    <row r="882" ht="14.25" customHeight="1" x14ac:dyDescent="0.35"/>
    <row r="883" ht="14.25" customHeight="1" x14ac:dyDescent="0.35"/>
    <row r="884" ht="14.25" customHeight="1" x14ac:dyDescent="0.35"/>
    <row r="885" ht="14.25" customHeight="1" x14ac:dyDescent="0.35"/>
    <row r="886" ht="14.25" customHeight="1" x14ac:dyDescent="0.35"/>
    <row r="887" ht="14.25" customHeight="1" x14ac:dyDescent="0.35"/>
    <row r="888" ht="14.25" customHeight="1" x14ac:dyDescent="0.35"/>
    <row r="889" ht="14.25" customHeight="1" x14ac:dyDescent="0.35"/>
    <row r="890" ht="14.25" customHeight="1" x14ac:dyDescent="0.35"/>
    <row r="891" ht="14.25" customHeight="1" x14ac:dyDescent="0.35"/>
    <row r="892" ht="14.25" customHeight="1" x14ac:dyDescent="0.35"/>
    <row r="893" ht="14.25" customHeight="1" x14ac:dyDescent="0.35"/>
    <row r="894" ht="14.25" customHeight="1" x14ac:dyDescent="0.35"/>
    <row r="895" ht="14.25" customHeight="1" x14ac:dyDescent="0.35"/>
    <row r="896" ht="14.25" customHeight="1" x14ac:dyDescent="0.35"/>
    <row r="897" ht="14.25" customHeight="1" x14ac:dyDescent="0.35"/>
    <row r="898" ht="14.25" customHeight="1" x14ac:dyDescent="0.35"/>
    <row r="899" ht="14.25" customHeight="1" x14ac:dyDescent="0.35"/>
    <row r="900" ht="14.25" customHeight="1" x14ac:dyDescent="0.35"/>
    <row r="901" ht="14.25" customHeight="1" x14ac:dyDescent="0.35"/>
    <row r="902" ht="14.25" customHeight="1" x14ac:dyDescent="0.35"/>
    <row r="903" ht="14.25" customHeight="1" x14ac:dyDescent="0.35"/>
    <row r="904" ht="14.25" customHeight="1" x14ac:dyDescent="0.35"/>
    <row r="905" ht="14.25" customHeight="1" x14ac:dyDescent="0.35"/>
    <row r="906" ht="14.25" customHeight="1" x14ac:dyDescent="0.35"/>
    <row r="907" ht="14.25" customHeight="1" x14ac:dyDescent="0.35"/>
    <row r="908" ht="14.25" customHeight="1" x14ac:dyDescent="0.35"/>
    <row r="909" ht="14.25" customHeight="1" x14ac:dyDescent="0.35"/>
    <row r="910" ht="14.25" customHeight="1" x14ac:dyDescent="0.35"/>
    <row r="911" ht="14.25" customHeight="1" x14ac:dyDescent="0.35"/>
    <row r="912" ht="14.25" customHeight="1" x14ac:dyDescent="0.35"/>
    <row r="913" ht="14.25" customHeight="1" x14ac:dyDescent="0.35"/>
    <row r="914" ht="14.25" customHeight="1" x14ac:dyDescent="0.35"/>
    <row r="915" ht="14.25" customHeight="1" x14ac:dyDescent="0.35"/>
    <row r="916" ht="14.25" customHeight="1" x14ac:dyDescent="0.35"/>
    <row r="917" ht="14.25" customHeight="1" x14ac:dyDescent="0.35"/>
    <row r="918" ht="14.25" customHeight="1" x14ac:dyDescent="0.35"/>
    <row r="919" ht="14.25" customHeight="1" x14ac:dyDescent="0.35"/>
    <row r="920" ht="14.25" customHeight="1" x14ac:dyDescent="0.35"/>
    <row r="921" ht="14.25" customHeight="1" x14ac:dyDescent="0.35"/>
    <row r="922" ht="14.25" customHeight="1" x14ac:dyDescent="0.35"/>
    <row r="923" ht="14.25" customHeight="1" x14ac:dyDescent="0.35"/>
    <row r="924" ht="14.25" customHeight="1" x14ac:dyDescent="0.35"/>
    <row r="925" ht="14.25" customHeight="1" x14ac:dyDescent="0.35"/>
    <row r="926" ht="14.25" customHeight="1" x14ac:dyDescent="0.35"/>
    <row r="927" ht="14.25" customHeight="1" x14ac:dyDescent="0.35"/>
    <row r="928" ht="14.25" customHeight="1" x14ac:dyDescent="0.35"/>
    <row r="929" ht="14.25" customHeight="1" x14ac:dyDescent="0.35"/>
    <row r="930" ht="14.25" customHeight="1" x14ac:dyDescent="0.35"/>
    <row r="931" ht="14.25" customHeight="1" x14ac:dyDescent="0.35"/>
    <row r="932" ht="14.25" customHeight="1" x14ac:dyDescent="0.35"/>
    <row r="933" ht="14.25" customHeight="1" x14ac:dyDescent="0.35"/>
    <row r="934" ht="14.25" customHeight="1" x14ac:dyDescent="0.35"/>
    <row r="935" ht="14.25" customHeight="1" x14ac:dyDescent="0.35"/>
    <row r="936" ht="14.25" customHeight="1" x14ac:dyDescent="0.35"/>
    <row r="937" ht="14.25" customHeight="1" x14ac:dyDescent="0.35"/>
    <row r="938" ht="14.25" customHeight="1" x14ac:dyDescent="0.35"/>
    <row r="939" ht="14.25" customHeight="1" x14ac:dyDescent="0.35"/>
    <row r="940" ht="14.25" customHeight="1" x14ac:dyDescent="0.35"/>
    <row r="941" ht="14.25" customHeight="1" x14ac:dyDescent="0.35"/>
    <row r="942" ht="14.25" customHeight="1" x14ac:dyDescent="0.35"/>
    <row r="943" ht="14.25" customHeight="1" x14ac:dyDescent="0.35"/>
    <row r="944" ht="14.25" customHeight="1" x14ac:dyDescent="0.35"/>
    <row r="945" ht="14.25" customHeight="1" x14ac:dyDescent="0.35"/>
    <row r="946" ht="14.25" customHeight="1" x14ac:dyDescent="0.35"/>
    <row r="947" ht="14.25" customHeight="1" x14ac:dyDescent="0.35"/>
    <row r="948" ht="14.25" customHeight="1" x14ac:dyDescent="0.35"/>
    <row r="949" ht="14.25" customHeight="1" x14ac:dyDescent="0.35"/>
    <row r="950" ht="14.25" customHeight="1" x14ac:dyDescent="0.35"/>
    <row r="951" ht="14.25" customHeight="1" x14ac:dyDescent="0.35"/>
    <row r="952" ht="14.25" customHeight="1" x14ac:dyDescent="0.35"/>
    <row r="953" ht="14.25" customHeight="1" x14ac:dyDescent="0.35"/>
    <row r="954" ht="14.25" customHeight="1" x14ac:dyDescent="0.35"/>
    <row r="955" ht="14.25" customHeight="1" x14ac:dyDescent="0.35"/>
    <row r="956" ht="14.25" customHeight="1" x14ac:dyDescent="0.35"/>
    <row r="957" ht="14.25" customHeight="1" x14ac:dyDescent="0.35"/>
    <row r="958" ht="14.25" customHeight="1" x14ac:dyDescent="0.35"/>
    <row r="959" ht="14.25" customHeight="1" x14ac:dyDescent="0.35"/>
    <row r="960" ht="14.25" customHeight="1" x14ac:dyDescent="0.35"/>
    <row r="961" ht="14.25" customHeight="1" x14ac:dyDescent="0.35"/>
    <row r="962" ht="14.25" customHeight="1" x14ac:dyDescent="0.35"/>
    <row r="963" ht="14.25" customHeight="1" x14ac:dyDescent="0.35"/>
    <row r="964" ht="14.25" customHeight="1" x14ac:dyDescent="0.35"/>
    <row r="965" ht="14.25" customHeight="1" x14ac:dyDescent="0.35"/>
    <row r="966" ht="14.25" customHeight="1" x14ac:dyDescent="0.35"/>
    <row r="967" ht="14.25" customHeight="1" x14ac:dyDescent="0.35"/>
    <row r="968" ht="14.25" customHeight="1" x14ac:dyDescent="0.35"/>
    <row r="969" ht="14.25" customHeight="1" x14ac:dyDescent="0.35"/>
    <row r="970" ht="14.25" customHeight="1" x14ac:dyDescent="0.35"/>
    <row r="971" ht="14.25" customHeight="1" x14ac:dyDescent="0.35"/>
    <row r="972" ht="14.25" customHeight="1" x14ac:dyDescent="0.35"/>
    <row r="973" ht="14.25" customHeight="1" x14ac:dyDescent="0.35"/>
    <row r="974" ht="14.25" customHeight="1" x14ac:dyDescent="0.35"/>
    <row r="975" ht="14.25" customHeight="1" x14ac:dyDescent="0.35"/>
    <row r="976" ht="14.25" customHeight="1" x14ac:dyDescent="0.35"/>
    <row r="977" ht="14.25" customHeight="1" x14ac:dyDescent="0.35"/>
    <row r="978" ht="14.25" customHeight="1" x14ac:dyDescent="0.35"/>
    <row r="979" ht="14.25" customHeight="1" x14ac:dyDescent="0.35"/>
    <row r="980" ht="14.25" customHeight="1" x14ac:dyDescent="0.35"/>
    <row r="981" ht="14.25" customHeight="1" x14ac:dyDescent="0.35"/>
    <row r="982" ht="14.25" customHeight="1" x14ac:dyDescent="0.35"/>
    <row r="983" ht="14.25" customHeight="1" x14ac:dyDescent="0.35"/>
    <row r="984" ht="14.25" customHeight="1" x14ac:dyDescent="0.35"/>
    <row r="985" ht="14.25" customHeight="1" x14ac:dyDescent="0.35"/>
    <row r="986" ht="14.25" customHeight="1" x14ac:dyDescent="0.35"/>
    <row r="987" ht="14.25" customHeight="1" x14ac:dyDescent="0.35"/>
    <row r="988" ht="14.25" customHeight="1" x14ac:dyDescent="0.35"/>
    <row r="989" ht="14.25" customHeight="1" x14ac:dyDescent="0.35"/>
    <row r="990" ht="14.25" customHeight="1" x14ac:dyDescent="0.35"/>
    <row r="991" ht="14.25" customHeight="1" x14ac:dyDescent="0.35"/>
    <row r="992" ht="14.25" customHeight="1" x14ac:dyDescent="0.35"/>
    <row r="993" ht="14.25" customHeight="1" x14ac:dyDescent="0.35"/>
    <row r="994" ht="14.25" customHeight="1" x14ac:dyDescent="0.35"/>
    <row r="995" ht="14.25" customHeight="1" x14ac:dyDescent="0.35"/>
    <row r="996" ht="14.25" customHeight="1" x14ac:dyDescent="0.35"/>
    <row r="997" ht="14.25" customHeight="1" x14ac:dyDescent="0.35"/>
    <row r="998" ht="14.25" customHeight="1" x14ac:dyDescent="0.35"/>
    <row r="999" ht="14.25" customHeight="1" x14ac:dyDescent="0.35"/>
    <row r="1000" ht="14.25" customHeight="1" x14ac:dyDescent="0.35"/>
  </sheetData>
  <pageMargins left="0.7" right="0.7" top="0.75" bottom="0.75" header="0.511811023622047" footer="0.511811023622047"/>
  <pageSetup orientation="landscape"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1:C1000"/>
  <sheetViews>
    <sheetView showGridLines="0" zoomScaleNormal="100" workbookViewId="0">
      <selection activeCell="F16" sqref="F16"/>
    </sheetView>
  </sheetViews>
  <sheetFormatPr defaultColWidth="14.453125" defaultRowHeight="14.5" x14ac:dyDescent="0.35"/>
  <cols>
    <col min="1" max="1" width="8.7265625" customWidth="1"/>
    <col min="2" max="2" width="12" customWidth="1"/>
    <col min="3" max="3" width="16.81640625" customWidth="1"/>
    <col min="4" max="26" width="8.7265625" customWidth="1"/>
  </cols>
  <sheetData>
    <row r="1" spans="2:3" ht="14.25" customHeight="1" x14ac:dyDescent="0.35"/>
    <row r="2" spans="2:3" ht="14.25" customHeight="1" x14ac:dyDescent="0.35"/>
    <row r="3" spans="2:3" ht="14.25" customHeight="1" x14ac:dyDescent="0.35">
      <c r="B3" s="81" t="s">
        <v>76</v>
      </c>
      <c r="C3" s="82" t="s">
        <v>79</v>
      </c>
    </row>
    <row r="4" spans="2:3" ht="14.25" customHeight="1" x14ac:dyDescent="0.35">
      <c r="B4" s="83" t="s">
        <v>10</v>
      </c>
      <c r="C4" s="84">
        <v>2200</v>
      </c>
    </row>
    <row r="5" spans="2:3" ht="14.25" customHeight="1" x14ac:dyDescent="0.35">
      <c r="B5" s="83" t="s">
        <v>12</v>
      </c>
      <c r="C5" s="84">
        <v>537</v>
      </c>
    </row>
    <row r="6" spans="2:3" ht="14.25" customHeight="1" x14ac:dyDescent="0.35">
      <c r="B6" s="83" t="s">
        <v>16</v>
      </c>
      <c r="C6" s="84">
        <v>635</v>
      </c>
    </row>
    <row r="7" spans="2:3" ht="14.25" customHeight="1" x14ac:dyDescent="0.35">
      <c r="B7" s="83" t="s">
        <v>17</v>
      </c>
      <c r="C7" s="84">
        <v>1180</v>
      </c>
    </row>
    <row r="8" spans="2:3" ht="14.25" customHeight="1" x14ac:dyDescent="0.35">
      <c r="B8" s="85" t="s">
        <v>77</v>
      </c>
      <c r="C8" s="86">
        <v>1163.409090909</v>
      </c>
    </row>
    <row r="9" spans="2:3" ht="14.25" customHeight="1" x14ac:dyDescent="0.35"/>
    <row r="10" spans="2:3" ht="14.25" customHeight="1" x14ac:dyDescent="0.35"/>
    <row r="11" spans="2:3" ht="14.25" customHeight="1" x14ac:dyDescent="0.35"/>
    <row r="12" spans="2:3" ht="14.25" customHeight="1" x14ac:dyDescent="0.35"/>
    <row r="13" spans="2:3" ht="14.25" customHeight="1" x14ac:dyDescent="0.35"/>
    <row r="14" spans="2:3" ht="14.25" customHeight="1" x14ac:dyDescent="0.35"/>
    <row r="15" spans="2:3" ht="14.25" customHeight="1" x14ac:dyDescent="0.35"/>
    <row r="16" spans="2:3" ht="14.25" customHeight="1" x14ac:dyDescent="0.35"/>
    <row r="17" ht="14.25" customHeight="1" x14ac:dyDescent="0.35"/>
    <row r="18" ht="14.25" customHeight="1" x14ac:dyDescent="0.35"/>
    <row r="19" ht="14.25" customHeight="1" x14ac:dyDescent="0.35"/>
    <row r="20" ht="14.25" customHeight="1" x14ac:dyDescent="0.35"/>
    <row r="21" ht="14.25" customHeight="1" x14ac:dyDescent="0.35"/>
    <row r="22" ht="14.25" customHeight="1" x14ac:dyDescent="0.35"/>
    <row r="23" ht="14.25" customHeight="1" x14ac:dyDescent="0.35"/>
    <row r="24" ht="14.25" customHeight="1" x14ac:dyDescent="0.35"/>
    <row r="25" ht="14.25" customHeight="1" x14ac:dyDescent="0.35"/>
    <row r="26" ht="14.25" customHeight="1" x14ac:dyDescent="0.35"/>
    <row r="27" ht="14.25" customHeight="1" x14ac:dyDescent="0.35"/>
    <row r="28" ht="14.25" customHeight="1" x14ac:dyDescent="0.35"/>
    <row r="29" ht="14.25" customHeight="1" x14ac:dyDescent="0.35"/>
    <row r="30" ht="14.25" customHeight="1" x14ac:dyDescent="0.35"/>
    <row r="31" ht="14.25" customHeight="1" x14ac:dyDescent="0.35"/>
    <row r="32" ht="14.25" customHeight="1" x14ac:dyDescent="0.35"/>
    <row r="33" ht="14.25" customHeight="1" x14ac:dyDescent="0.35"/>
    <row r="34" ht="14.25" customHeight="1" x14ac:dyDescent="0.35"/>
    <row r="35" ht="14.25" customHeight="1" x14ac:dyDescent="0.35"/>
    <row r="36" ht="14.25" customHeight="1" x14ac:dyDescent="0.35"/>
    <row r="37" ht="14.25" customHeight="1" x14ac:dyDescent="0.35"/>
    <row r="38" ht="14.25" customHeight="1" x14ac:dyDescent="0.35"/>
    <row r="39" ht="14.25" customHeight="1" x14ac:dyDescent="0.35"/>
    <row r="40" ht="14.25" customHeight="1" x14ac:dyDescent="0.35"/>
    <row r="41" ht="14.25" customHeight="1" x14ac:dyDescent="0.35"/>
    <row r="42" ht="14.25" customHeight="1" x14ac:dyDescent="0.35"/>
    <row r="43" ht="14.25" customHeight="1" x14ac:dyDescent="0.35"/>
    <row r="44" ht="14.25" customHeight="1" x14ac:dyDescent="0.35"/>
    <row r="45" ht="14.25" customHeight="1" x14ac:dyDescent="0.35"/>
    <row r="46" ht="14.25" customHeight="1" x14ac:dyDescent="0.35"/>
    <row r="47" ht="14.25" customHeight="1" x14ac:dyDescent="0.35"/>
    <row r="48" ht="14.25" customHeight="1" x14ac:dyDescent="0.35"/>
    <row r="49" ht="14.25" customHeight="1" x14ac:dyDescent="0.35"/>
    <row r="50" ht="14.25" customHeight="1" x14ac:dyDescent="0.35"/>
    <row r="51" ht="14.25" customHeight="1" x14ac:dyDescent="0.35"/>
    <row r="52" ht="14.25" customHeight="1" x14ac:dyDescent="0.35"/>
    <row r="53" ht="14.25" customHeight="1" x14ac:dyDescent="0.35"/>
    <row r="54" ht="14.25" customHeight="1" x14ac:dyDescent="0.35"/>
    <row r="55" ht="14.25" customHeight="1" x14ac:dyDescent="0.35"/>
    <row r="56" ht="14.25" customHeight="1" x14ac:dyDescent="0.35"/>
    <row r="57" ht="14.25" customHeight="1" x14ac:dyDescent="0.35"/>
    <row r="58" ht="14.25" customHeight="1" x14ac:dyDescent="0.35"/>
    <row r="59" ht="14.25" customHeight="1" x14ac:dyDescent="0.35"/>
    <row r="60" ht="14.25" customHeight="1" x14ac:dyDescent="0.35"/>
    <row r="61" ht="14.25" customHeight="1" x14ac:dyDescent="0.35"/>
    <row r="62" ht="14.25" customHeight="1" x14ac:dyDescent="0.35"/>
    <row r="63" ht="14.25" customHeight="1" x14ac:dyDescent="0.35"/>
    <row r="64" ht="14.25" customHeight="1" x14ac:dyDescent="0.35"/>
    <row r="65" ht="14.25" customHeight="1" x14ac:dyDescent="0.35"/>
    <row r="66" ht="14.25" customHeight="1" x14ac:dyDescent="0.35"/>
    <row r="67" ht="14.25" customHeight="1" x14ac:dyDescent="0.35"/>
    <row r="68" ht="14.25" customHeight="1" x14ac:dyDescent="0.35"/>
    <row r="69" ht="14.25" customHeight="1" x14ac:dyDescent="0.35"/>
    <row r="70" ht="14.25" customHeight="1" x14ac:dyDescent="0.35"/>
    <row r="71" ht="14.25" customHeight="1" x14ac:dyDescent="0.35"/>
    <row r="72" ht="14.25" customHeight="1" x14ac:dyDescent="0.35"/>
    <row r="73" ht="14.25" customHeight="1" x14ac:dyDescent="0.35"/>
    <row r="74" ht="14.25" customHeight="1" x14ac:dyDescent="0.35"/>
    <row r="75" ht="14.25" customHeight="1" x14ac:dyDescent="0.35"/>
    <row r="76" ht="14.25" customHeight="1" x14ac:dyDescent="0.35"/>
    <row r="77" ht="14.25" customHeight="1" x14ac:dyDescent="0.35"/>
    <row r="78" ht="14.25" customHeight="1" x14ac:dyDescent="0.35"/>
    <row r="79" ht="14.25" customHeight="1" x14ac:dyDescent="0.35"/>
    <row r="80" ht="14.25" customHeight="1" x14ac:dyDescent="0.35"/>
    <row r="81" ht="14.25" customHeight="1" x14ac:dyDescent="0.35"/>
    <row r="82" ht="14.25" customHeight="1" x14ac:dyDescent="0.35"/>
    <row r="83" ht="14.25" customHeight="1" x14ac:dyDescent="0.35"/>
    <row r="84" ht="14.25" customHeight="1" x14ac:dyDescent="0.35"/>
    <row r="85" ht="14.25" customHeight="1" x14ac:dyDescent="0.35"/>
    <row r="86" ht="14.25" customHeight="1" x14ac:dyDescent="0.35"/>
    <row r="87" ht="14.25" customHeight="1" x14ac:dyDescent="0.35"/>
    <row r="88" ht="14.25" customHeight="1" x14ac:dyDescent="0.35"/>
    <row r="89" ht="14.25" customHeight="1" x14ac:dyDescent="0.35"/>
    <row r="90" ht="14.25" customHeight="1" x14ac:dyDescent="0.35"/>
    <row r="91" ht="14.25" customHeight="1" x14ac:dyDescent="0.35"/>
    <row r="92" ht="14.25" customHeight="1" x14ac:dyDescent="0.35"/>
    <row r="93" ht="14.25" customHeight="1" x14ac:dyDescent="0.35"/>
    <row r="94" ht="14.25" customHeight="1" x14ac:dyDescent="0.35"/>
    <row r="95" ht="14.25" customHeight="1" x14ac:dyDescent="0.35"/>
    <row r="96" ht="14.25" customHeight="1" x14ac:dyDescent="0.35"/>
    <row r="97" ht="14.25" customHeight="1" x14ac:dyDescent="0.35"/>
    <row r="98" ht="14.25" customHeight="1" x14ac:dyDescent="0.35"/>
    <row r="99" ht="14.25" customHeight="1" x14ac:dyDescent="0.35"/>
    <row r="100" ht="14.25" customHeight="1" x14ac:dyDescent="0.35"/>
    <row r="101" ht="14.25" customHeight="1" x14ac:dyDescent="0.35"/>
    <row r="102" ht="14.25" customHeight="1" x14ac:dyDescent="0.35"/>
    <row r="103" ht="14.25" customHeight="1" x14ac:dyDescent="0.35"/>
    <row r="104" ht="14.25" customHeight="1" x14ac:dyDescent="0.35"/>
    <row r="105" ht="14.25" customHeight="1" x14ac:dyDescent="0.35"/>
    <row r="106" ht="14.25" customHeight="1" x14ac:dyDescent="0.35"/>
    <row r="107" ht="14.25" customHeight="1" x14ac:dyDescent="0.35"/>
    <row r="108" ht="14.25" customHeight="1" x14ac:dyDescent="0.35"/>
    <row r="109" ht="14.25" customHeight="1" x14ac:dyDescent="0.35"/>
    <row r="110" ht="14.25" customHeight="1" x14ac:dyDescent="0.35"/>
    <row r="111" ht="14.25" customHeight="1" x14ac:dyDescent="0.35"/>
    <row r="112" ht="14.25" customHeight="1" x14ac:dyDescent="0.35"/>
    <row r="113" ht="14.25" customHeight="1" x14ac:dyDescent="0.35"/>
    <row r="114" ht="14.25" customHeight="1" x14ac:dyDescent="0.35"/>
    <row r="115" ht="14.25" customHeight="1" x14ac:dyDescent="0.35"/>
    <row r="116" ht="14.25" customHeight="1" x14ac:dyDescent="0.35"/>
    <row r="117" ht="14.25" customHeight="1" x14ac:dyDescent="0.35"/>
    <row r="118" ht="14.25" customHeight="1" x14ac:dyDescent="0.35"/>
    <row r="119" ht="14.25" customHeight="1" x14ac:dyDescent="0.35"/>
    <row r="120" ht="14.25" customHeight="1" x14ac:dyDescent="0.35"/>
    <row r="121" ht="14.25" customHeight="1" x14ac:dyDescent="0.35"/>
    <row r="122" ht="14.25" customHeight="1" x14ac:dyDescent="0.35"/>
    <row r="123" ht="14.25" customHeight="1" x14ac:dyDescent="0.35"/>
    <row r="124" ht="14.25" customHeight="1" x14ac:dyDescent="0.35"/>
    <row r="125" ht="14.25" customHeight="1" x14ac:dyDescent="0.35"/>
    <row r="126" ht="14.25" customHeight="1" x14ac:dyDescent="0.35"/>
    <row r="127" ht="14.25" customHeight="1" x14ac:dyDescent="0.35"/>
    <row r="128" ht="14.25" customHeight="1" x14ac:dyDescent="0.35"/>
    <row r="129" ht="14.25" customHeight="1" x14ac:dyDescent="0.35"/>
    <row r="130" ht="14.25" customHeight="1" x14ac:dyDescent="0.35"/>
    <row r="131" ht="14.25" customHeight="1" x14ac:dyDescent="0.35"/>
    <row r="132" ht="14.25" customHeight="1" x14ac:dyDescent="0.35"/>
    <row r="133" ht="14.25" customHeight="1" x14ac:dyDescent="0.35"/>
    <row r="134" ht="14.25" customHeight="1" x14ac:dyDescent="0.35"/>
    <row r="135" ht="14.25" customHeight="1" x14ac:dyDescent="0.35"/>
    <row r="136" ht="14.25" customHeight="1" x14ac:dyDescent="0.35"/>
    <row r="137" ht="14.25" customHeight="1" x14ac:dyDescent="0.35"/>
    <row r="138" ht="14.25" customHeight="1" x14ac:dyDescent="0.35"/>
    <row r="139" ht="14.25" customHeight="1" x14ac:dyDescent="0.35"/>
    <row r="140" ht="14.25" customHeight="1" x14ac:dyDescent="0.35"/>
    <row r="141" ht="14.25" customHeight="1" x14ac:dyDescent="0.35"/>
    <row r="142" ht="14.25" customHeight="1" x14ac:dyDescent="0.35"/>
    <row r="143" ht="14.25" customHeight="1" x14ac:dyDescent="0.35"/>
    <row r="144" ht="14.25" customHeight="1" x14ac:dyDescent="0.35"/>
    <row r="145" ht="14.25" customHeight="1" x14ac:dyDescent="0.35"/>
    <row r="146" ht="14.25" customHeight="1" x14ac:dyDescent="0.35"/>
    <row r="147" ht="14.25" customHeight="1" x14ac:dyDescent="0.35"/>
    <row r="148" ht="14.25" customHeight="1" x14ac:dyDescent="0.35"/>
    <row r="149" ht="14.25" customHeight="1" x14ac:dyDescent="0.35"/>
    <row r="150" ht="14.25" customHeight="1" x14ac:dyDescent="0.35"/>
    <row r="151" ht="14.25" customHeight="1" x14ac:dyDescent="0.35"/>
    <row r="152" ht="14.25" customHeight="1" x14ac:dyDescent="0.35"/>
    <row r="153" ht="14.25" customHeight="1" x14ac:dyDescent="0.35"/>
    <row r="154" ht="14.25" customHeight="1" x14ac:dyDescent="0.35"/>
    <row r="155" ht="14.25" customHeight="1" x14ac:dyDescent="0.35"/>
    <row r="156" ht="14.25" customHeight="1" x14ac:dyDescent="0.35"/>
    <row r="157" ht="14.25" customHeight="1" x14ac:dyDescent="0.35"/>
    <row r="158" ht="14.25" customHeight="1" x14ac:dyDescent="0.35"/>
    <row r="159" ht="14.25" customHeight="1" x14ac:dyDescent="0.35"/>
    <row r="160" ht="14.25" customHeight="1" x14ac:dyDescent="0.35"/>
    <row r="161" ht="14.25" customHeight="1" x14ac:dyDescent="0.35"/>
    <row r="162" ht="14.25" customHeight="1" x14ac:dyDescent="0.35"/>
    <row r="163" ht="14.25" customHeight="1" x14ac:dyDescent="0.35"/>
    <row r="164" ht="14.25" customHeight="1" x14ac:dyDescent="0.35"/>
    <row r="165" ht="14.25" customHeight="1" x14ac:dyDescent="0.35"/>
    <row r="166" ht="14.25" customHeight="1" x14ac:dyDescent="0.35"/>
    <row r="167" ht="14.25" customHeight="1" x14ac:dyDescent="0.35"/>
    <row r="168" ht="14.25" customHeight="1" x14ac:dyDescent="0.35"/>
    <row r="169" ht="14.25" customHeight="1" x14ac:dyDescent="0.35"/>
    <row r="170" ht="14.25" customHeight="1" x14ac:dyDescent="0.35"/>
    <row r="171" ht="14.25" customHeight="1" x14ac:dyDescent="0.35"/>
    <row r="172" ht="14.25" customHeight="1" x14ac:dyDescent="0.35"/>
    <row r="173" ht="14.25" customHeight="1" x14ac:dyDescent="0.35"/>
    <row r="174" ht="14.25" customHeight="1" x14ac:dyDescent="0.35"/>
    <row r="175" ht="14.25" customHeight="1" x14ac:dyDescent="0.35"/>
    <row r="176" ht="14.25" customHeight="1" x14ac:dyDescent="0.35"/>
    <row r="177" ht="14.25" customHeight="1" x14ac:dyDescent="0.35"/>
    <row r="178" ht="14.25" customHeight="1" x14ac:dyDescent="0.35"/>
    <row r="179" ht="14.25" customHeight="1" x14ac:dyDescent="0.35"/>
    <row r="180" ht="14.25" customHeight="1" x14ac:dyDescent="0.35"/>
    <row r="181" ht="14.25" customHeight="1" x14ac:dyDescent="0.35"/>
    <row r="182" ht="14.25" customHeight="1" x14ac:dyDescent="0.35"/>
    <row r="183" ht="14.25" customHeight="1" x14ac:dyDescent="0.35"/>
    <row r="184" ht="14.25" customHeight="1" x14ac:dyDescent="0.35"/>
    <row r="185" ht="14.25" customHeight="1" x14ac:dyDescent="0.35"/>
    <row r="186" ht="14.25" customHeight="1" x14ac:dyDescent="0.35"/>
    <row r="187" ht="14.25" customHeight="1" x14ac:dyDescent="0.35"/>
    <row r="188" ht="14.25" customHeight="1" x14ac:dyDescent="0.35"/>
    <row r="189" ht="14.25" customHeight="1" x14ac:dyDescent="0.35"/>
    <row r="190" ht="14.25" customHeight="1" x14ac:dyDescent="0.35"/>
    <row r="191" ht="14.25" customHeight="1" x14ac:dyDescent="0.35"/>
    <row r="192" ht="14.25" customHeight="1" x14ac:dyDescent="0.35"/>
    <row r="193" ht="14.25" customHeight="1" x14ac:dyDescent="0.35"/>
    <row r="194" ht="14.25" customHeight="1" x14ac:dyDescent="0.35"/>
    <row r="195" ht="14.25" customHeight="1" x14ac:dyDescent="0.35"/>
    <row r="196" ht="14.25" customHeight="1" x14ac:dyDescent="0.35"/>
    <row r="197" ht="14.25" customHeight="1" x14ac:dyDescent="0.35"/>
    <row r="198" ht="14.25" customHeight="1" x14ac:dyDescent="0.35"/>
    <row r="199" ht="14.25" customHeight="1" x14ac:dyDescent="0.35"/>
    <row r="200" ht="14.25" customHeight="1" x14ac:dyDescent="0.35"/>
    <row r="201" ht="14.25" customHeight="1" x14ac:dyDescent="0.35"/>
    <row r="202" ht="14.25" customHeight="1" x14ac:dyDescent="0.35"/>
    <row r="203" ht="14.25" customHeight="1" x14ac:dyDescent="0.35"/>
    <row r="204" ht="14.25" customHeight="1" x14ac:dyDescent="0.35"/>
    <row r="205" ht="14.25" customHeight="1" x14ac:dyDescent="0.35"/>
    <row r="206" ht="14.25" customHeight="1" x14ac:dyDescent="0.35"/>
    <row r="207" ht="14.25" customHeight="1" x14ac:dyDescent="0.35"/>
    <row r="208" ht="14.25" customHeight="1" x14ac:dyDescent="0.35"/>
    <row r="209" ht="14.25" customHeight="1" x14ac:dyDescent="0.35"/>
    <row r="210" ht="14.25" customHeight="1" x14ac:dyDescent="0.35"/>
    <row r="211" ht="14.25" customHeight="1" x14ac:dyDescent="0.35"/>
    <row r="212" ht="14.25" customHeight="1" x14ac:dyDescent="0.35"/>
    <row r="213" ht="14.25" customHeight="1" x14ac:dyDescent="0.35"/>
    <row r="214" ht="14.25" customHeight="1" x14ac:dyDescent="0.35"/>
    <row r="215" ht="14.25" customHeight="1" x14ac:dyDescent="0.35"/>
    <row r="216" ht="14.25" customHeight="1" x14ac:dyDescent="0.35"/>
    <row r="217" ht="14.25" customHeight="1" x14ac:dyDescent="0.35"/>
    <row r="218" ht="14.25" customHeight="1" x14ac:dyDescent="0.35"/>
    <row r="219" ht="14.25" customHeight="1" x14ac:dyDescent="0.35"/>
    <row r="220" ht="14.25" customHeight="1" x14ac:dyDescent="0.35"/>
    <row r="221" ht="14.25" customHeight="1" x14ac:dyDescent="0.35"/>
    <row r="222" ht="14.25" customHeight="1" x14ac:dyDescent="0.35"/>
    <row r="223" ht="14.25" customHeight="1" x14ac:dyDescent="0.35"/>
    <row r="224" ht="14.25" customHeight="1" x14ac:dyDescent="0.35"/>
    <row r="225" ht="14.25" customHeight="1" x14ac:dyDescent="0.35"/>
    <row r="226" ht="14.25" customHeight="1" x14ac:dyDescent="0.35"/>
    <row r="227" ht="14.25" customHeight="1" x14ac:dyDescent="0.35"/>
    <row r="228" ht="14.25" customHeight="1" x14ac:dyDescent="0.35"/>
    <row r="229" ht="14.25" customHeight="1" x14ac:dyDescent="0.35"/>
    <row r="230" ht="14.25" customHeight="1" x14ac:dyDescent="0.35"/>
    <row r="231" ht="14.25" customHeight="1" x14ac:dyDescent="0.35"/>
    <row r="232" ht="14.25" customHeight="1" x14ac:dyDescent="0.35"/>
    <row r="233" ht="14.25" customHeight="1" x14ac:dyDescent="0.35"/>
    <row r="234" ht="14.25" customHeight="1" x14ac:dyDescent="0.35"/>
    <row r="235" ht="14.25" customHeight="1" x14ac:dyDescent="0.35"/>
    <row r="236" ht="14.25" customHeight="1" x14ac:dyDescent="0.35"/>
    <row r="237" ht="14.25" customHeight="1" x14ac:dyDescent="0.35"/>
    <row r="238" ht="14.25" customHeight="1" x14ac:dyDescent="0.35"/>
    <row r="239" ht="14.25" customHeight="1" x14ac:dyDescent="0.35"/>
    <row r="240" ht="14.25" customHeight="1" x14ac:dyDescent="0.35"/>
    <row r="241" ht="14.25" customHeight="1" x14ac:dyDescent="0.35"/>
    <row r="242" ht="14.25" customHeight="1" x14ac:dyDescent="0.35"/>
    <row r="243" ht="14.25" customHeight="1" x14ac:dyDescent="0.35"/>
    <row r="244" ht="14.25" customHeight="1" x14ac:dyDescent="0.35"/>
    <row r="245" ht="14.25" customHeight="1" x14ac:dyDescent="0.35"/>
    <row r="246" ht="14.25" customHeight="1" x14ac:dyDescent="0.35"/>
    <row r="247" ht="14.25" customHeight="1" x14ac:dyDescent="0.35"/>
    <row r="248" ht="14.25" customHeight="1" x14ac:dyDescent="0.35"/>
    <row r="249" ht="14.25" customHeight="1" x14ac:dyDescent="0.35"/>
    <row r="250" ht="14.25" customHeight="1" x14ac:dyDescent="0.35"/>
    <row r="251" ht="14.25" customHeight="1" x14ac:dyDescent="0.35"/>
    <row r="252" ht="14.25" customHeight="1" x14ac:dyDescent="0.35"/>
    <row r="253" ht="14.25" customHeight="1" x14ac:dyDescent="0.35"/>
    <row r="254" ht="14.25" customHeight="1" x14ac:dyDescent="0.35"/>
    <row r="255" ht="14.25" customHeight="1" x14ac:dyDescent="0.35"/>
    <row r="256" ht="14.25" customHeight="1" x14ac:dyDescent="0.35"/>
    <row r="257" ht="14.25" customHeight="1" x14ac:dyDescent="0.35"/>
    <row r="258" ht="14.25" customHeight="1" x14ac:dyDescent="0.35"/>
    <row r="259" ht="14.25" customHeight="1" x14ac:dyDescent="0.35"/>
    <row r="260" ht="14.25" customHeight="1" x14ac:dyDescent="0.35"/>
    <row r="261" ht="14.25" customHeight="1" x14ac:dyDescent="0.35"/>
    <row r="262" ht="14.25" customHeight="1" x14ac:dyDescent="0.35"/>
    <row r="263" ht="14.25" customHeight="1" x14ac:dyDescent="0.35"/>
    <row r="264" ht="14.25" customHeight="1" x14ac:dyDescent="0.35"/>
    <row r="265" ht="14.25" customHeight="1" x14ac:dyDescent="0.35"/>
    <row r="266" ht="14.25" customHeight="1" x14ac:dyDescent="0.35"/>
    <row r="267" ht="14.25" customHeight="1" x14ac:dyDescent="0.35"/>
    <row r="268" ht="14.25" customHeight="1" x14ac:dyDescent="0.35"/>
    <row r="269" ht="14.25" customHeight="1" x14ac:dyDescent="0.35"/>
    <row r="270" ht="14.25" customHeight="1" x14ac:dyDescent="0.35"/>
    <row r="271" ht="14.25" customHeight="1" x14ac:dyDescent="0.35"/>
    <row r="272" ht="14.25" customHeight="1" x14ac:dyDescent="0.35"/>
    <row r="273" ht="14.25" customHeight="1" x14ac:dyDescent="0.35"/>
    <row r="274" ht="14.25" customHeight="1" x14ac:dyDescent="0.35"/>
    <row r="275" ht="14.25" customHeight="1" x14ac:dyDescent="0.35"/>
    <row r="276" ht="14.25" customHeight="1" x14ac:dyDescent="0.35"/>
    <row r="277" ht="14.25" customHeight="1" x14ac:dyDescent="0.35"/>
    <row r="278" ht="14.25" customHeight="1" x14ac:dyDescent="0.35"/>
    <row r="279" ht="14.25" customHeight="1" x14ac:dyDescent="0.35"/>
    <row r="280" ht="14.25" customHeight="1" x14ac:dyDescent="0.35"/>
    <row r="281" ht="14.25" customHeight="1" x14ac:dyDescent="0.35"/>
    <row r="282" ht="14.25" customHeight="1" x14ac:dyDescent="0.35"/>
    <row r="283" ht="14.25" customHeight="1" x14ac:dyDescent="0.35"/>
    <row r="284" ht="14.25" customHeight="1" x14ac:dyDescent="0.35"/>
    <row r="285" ht="14.25" customHeight="1" x14ac:dyDescent="0.35"/>
    <row r="286" ht="14.25" customHeight="1" x14ac:dyDescent="0.35"/>
    <row r="287" ht="14.25" customHeight="1" x14ac:dyDescent="0.35"/>
    <row r="288" ht="14.25" customHeight="1" x14ac:dyDescent="0.35"/>
    <row r="289" ht="14.25" customHeight="1" x14ac:dyDescent="0.35"/>
    <row r="290" ht="14.25" customHeight="1" x14ac:dyDescent="0.35"/>
    <row r="291" ht="14.25" customHeight="1" x14ac:dyDescent="0.35"/>
    <row r="292" ht="14.25" customHeight="1" x14ac:dyDescent="0.35"/>
    <row r="293" ht="14.25" customHeight="1" x14ac:dyDescent="0.35"/>
    <row r="294" ht="14.25" customHeight="1" x14ac:dyDescent="0.35"/>
    <row r="295" ht="14.25" customHeight="1" x14ac:dyDescent="0.35"/>
    <row r="296" ht="14.25" customHeight="1" x14ac:dyDescent="0.35"/>
    <row r="297" ht="14.25" customHeight="1" x14ac:dyDescent="0.35"/>
    <row r="298" ht="14.25" customHeight="1" x14ac:dyDescent="0.35"/>
    <row r="299" ht="14.25" customHeight="1" x14ac:dyDescent="0.35"/>
    <row r="300" ht="14.25" customHeight="1" x14ac:dyDescent="0.35"/>
    <row r="301" ht="14.25" customHeight="1" x14ac:dyDescent="0.35"/>
    <row r="302" ht="14.25" customHeight="1" x14ac:dyDescent="0.35"/>
    <row r="303" ht="14.25" customHeight="1" x14ac:dyDescent="0.35"/>
    <row r="304" ht="14.25" customHeight="1" x14ac:dyDescent="0.35"/>
    <row r="305" ht="14.25" customHeight="1" x14ac:dyDescent="0.35"/>
    <row r="306" ht="14.25" customHeight="1" x14ac:dyDescent="0.35"/>
    <row r="307" ht="14.25" customHeight="1" x14ac:dyDescent="0.35"/>
    <row r="308" ht="14.25" customHeight="1" x14ac:dyDescent="0.35"/>
    <row r="309" ht="14.25" customHeight="1" x14ac:dyDescent="0.35"/>
    <row r="310" ht="14.25" customHeight="1" x14ac:dyDescent="0.35"/>
    <row r="311" ht="14.25" customHeight="1" x14ac:dyDescent="0.35"/>
    <row r="312" ht="14.25" customHeight="1" x14ac:dyDescent="0.35"/>
    <row r="313" ht="14.25" customHeight="1" x14ac:dyDescent="0.35"/>
    <row r="314" ht="14.25" customHeight="1" x14ac:dyDescent="0.35"/>
    <row r="315" ht="14.25" customHeight="1" x14ac:dyDescent="0.35"/>
    <row r="316" ht="14.25" customHeight="1" x14ac:dyDescent="0.35"/>
    <row r="317" ht="14.25" customHeight="1" x14ac:dyDescent="0.35"/>
    <row r="318" ht="14.25" customHeight="1" x14ac:dyDescent="0.35"/>
    <row r="319" ht="14.25" customHeight="1" x14ac:dyDescent="0.35"/>
    <row r="320" ht="14.25" customHeight="1" x14ac:dyDescent="0.35"/>
    <row r="321" ht="14.25" customHeight="1" x14ac:dyDescent="0.35"/>
    <row r="322" ht="14.25" customHeight="1" x14ac:dyDescent="0.35"/>
    <row r="323" ht="14.25" customHeight="1" x14ac:dyDescent="0.35"/>
    <row r="324" ht="14.25" customHeight="1" x14ac:dyDescent="0.35"/>
    <row r="325" ht="14.25" customHeight="1" x14ac:dyDescent="0.35"/>
    <row r="326" ht="14.25" customHeight="1" x14ac:dyDescent="0.35"/>
    <row r="327" ht="14.25" customHeight="1" x14ac:dyDescent="0.35"/>
    <row r="328" ht="14.25" customHeight="1" x14ac:dyDescent="0.35"/>
    <row r="329" ht="14.25" customHeight="1" x14ac:dyDescent="0.35"/>
    <row r="330" ht="14.25" customHeight="1" x14ac:dyDescent="0.35"/>
    <row r="331" ht="14.25" customHeight="1" x14ac:dyDescent="0.35"/>
    <row r="332" ht="14.25" customHeight="1" x14ac:dyDescent="0.35"/>
    <row r="333" ht="14.25" customHeight="1" x14ac:dyDescent="0.35"/>
    <row r="334" ht="14.25" customHeight="1" x14ac:dyDescent="0.35"/>
    <row r="335" ht="14.25" customHeight="1" x14ac:dyDescent="0.35"/>
    <row r="336" ht="14.25" customHeight="1" x14ac:dyDescent="0.35"/>
    <row r="337" ht="14.25" customHeight="1" x14ac:dyDescent="0.35"/>
    <row r="338" ht="14.25" customHeight="1" x14ac:dyDescent="0.35"/>
    <row r="339" ht="14.25" customHeight="1" x14ac:dyDescent="0.35"/>
    <row r="340" ht="14.25" customHeight="1" x14ac:dyDescent="0.35"/>
    <row r="341" ht="14.25" customHeight="1" x14ac:dyDescent="0.35"/>
    <row r="342" ht="14.25" customHeight="1" x14ac:dyDescent="0.35"/>
    <row r="343" ht="14.25" customHeight="1" x14ac:dyDescent="0.35"/>
    <row r="344" ht="14.25" customHeight="1" x14ac:dyDescent="0.35"/>
    <row r="345" ht="14.25" customHeight="1" x14ac:dyDescent="0.35"/>
    <row r="346" ht="14.25" customHeight="1" x14ac:dyDescent="0.35"/>
    <row r="347" ht="14.25" customHeight="1" x14ac:dyDescent="0.35"/>
    <row r="348" ht="14.25" customHeight="1" x14ac:dyDescent="0.35"/>
    <row r="349" ht="14.25" customHeight="1" x14ac:dyDescent="0.35"/>
    <row r="350" ht="14.25" customHeight="1" x14ac:dyDescent="0.35"/>
    <row r="351" ht="14.25" customHeight="1" x14ac:dyDescent="0.35"/>
    <row r="352" ht="14.25" customHeight="1" x14ac:dyDescent="0.35"/>
    <row r="353" ht="14.25" customHeight="1" x14ac:dyDescent="0.35"/>
    <row r="354" ht="14.25" customHeight="1" x14ac:dyDescent="0.35"/>
    <row r="355" ht="14.25" customHeight="1" x14ac:dyDescent="0.35"/>
    <row r="356" ht="14.25" customHeight="1" x14ac:dyDescent="0.35"/>
    <row r="357" ht="14.25" customHeight="1" x14ac:dyDescent="0.35"/>
    <row r="358" ht="14.25" customHeight="1" x14ac:dyDescent="0.35"/>
    <row r="359" ht="14.25" customHeight="1" x14ac:dyDescent="0.35"/>
    <row r="360" ht="14.25" customHeight="1" x14ac:dyDescent="0.35"/>
    <row r="361" ht="14.25" customHeight="1" x14ac:dyDescent="0.35"/>
    <row r="362" ht="14.25" customHeight="1" x14ac:dyDescent="0.35"/>
    <row r="363" ht="14.25" customHeight="1" x14ac:dyDescent="0.35"/>
    <row r="364" ht="14.25" customHeight="1" x14ac:dyDescent="0.35"/>
    <row r="365" ht="14.25" customHeight="1" x14ac:dyDescent="0.35"/>
    <row r="366" ht="14.25" customHeight="1" x14ac:dyDescent="0.35"/>
    <row r="367" ht="14.25" customHeight="1" x14ac:dyDescent="0.35"/>
    <row r="368" ht="14.25" customHeight="1" x14ac:dyDescent="0.35"/>
    <row r="369" ht="14.25" customHeight="1" x14ac:dyDescent="0.35"/>
    <row r="370" ht="14.25" customHeight="1" x14ac:dyDescent="0.35"/>
    <row r="371" ht="14.25" customHeight="1" x14ac:dyDescent="0.35"/>
    <row r="372" ht="14.25" customHeight="1" x14ac:dyDescent="0.35"/>
    <row r="373" ht="14.25" customHeight="1" x14ac:dyDescent="0.35"/>
    <row r="374" ht="14.25" customHeight="1" x14ac:dyDescent="0.35"/>
    <row r="375" ht="14.25" customHeight="1" x14ac:dyDescent="0.35"/>
    <row r="376" ht="14.25" customHeight="1" x14ac:dyDescent="0.35"/>
    <row r="377" ht="14.25" customHeight="1" x14ac:dyDescent="0.35"/>
    <row r="378" ht="14.25" customHeight="1" x14ac:dyDescent="0.35"/>
    <row r="379" ht="14.25" customHeight="1" x14ac:dyDescent="0.35"/>
    <row r="380" ht="14.25" customHeight="1" x14ac:dyDescent="0.35"/>
    <row r="381" ht="14.25" customHeight="1" x14ac:dyDescent="0.35"/>
    <row r="382" ht="14.25" customHeight="1" x14ac:dyDescent="0.35"/>
    <row r="383" ht="14.25" customHeight="1" x14ac:dyDescent="0.35"/>
    <row r="384" ht="14.25" customHeight="1" x14ac:dyDescent="0.35"/>
    <row r="385" ht="14.25" customHeight="1" x14ac:dyDescent="0.35"/>
    <row r="386" ht="14.25" customHeight="1" x14ac:dyDescent="0.35"/>
    <row r="387" ht="14.25" customHeight="1" x14ac:dyDescent="0.35"/>
    <row r="388" ht="14.25" customHeight="1" x14ac:dyDescent="0.35"/>
    <row r="389" ht="14.25" customHeight="1" x14ac:dyDescent="0.35"/>
    <row r="390" ht="14.25" customHeight="1" x14ac:dyDescent="0.35"/>
    <row r="391" ht="14.25" customHeight="1" x14ac:dyDescent="0.35"/>
    <row r="392" ht="14.25" customHeight="1" x14ac:dyDescent="0.35"/>
    <row r="393" ht="14.25" customHeight="1" x14ac:dyDescent="0.35"/>
    <row r="394" ht="14.25" customHeight="1" x14ac:dyDescent="0.35"/>
    <row r="395" ht="14.25" customHeight="1" x14ac:dyDescent="0.35"/>
    <row r="396" ht="14.25" customHeight="1" x14ac:dyDescent="0.35"/>
    <row r="397" ht="14.25" customHeight="1" x14ac:dyDescent="0.35"/>
    <row r="398" ht="14.25" customHeight="1" x14ac:dyDescent="0.35"/>
    <row r="399" ht="14.25" customHeight="1" x14ac:dyDescent="0.35"/>
    <row r="400" ht="14.25" customHeight="1" x14ac:dyDescent="0.35"/>
    <row r="401" ht="14.25" customHeight="1" x14ac:dyDescent="0.35"/>
    <row r="402" ht="14.25" customHeight="1" x14ac:dyDescent="0.35"/>
    <row r="403" ht="14.25" customHeight="1" x14ac:dyDescent="0.35"/>
    <row r="404" ht="14.25" customHeight="1" x14ac:dyDescent="0.35"/>
    <row r="405" ht="14.25" customHeight="1" x14ac:dyDescent="0.35"/>
    <row r="406" ht="14.25" customHeight="1" x14ac:dyDescent="0.35"/>
    <row r="407" ht="14.25" customHeight="1" x14ac:dyDescent="0.35"/>
    <row r="408" ht="14.25" customHeight="1" x14ac:dyDescent="0.35"/>
    <row r="409" ht="14.25" customHeight="1" x14ac:dyDescent="0.35"/>
    <row r="410" ht="14.25" customHeight="1" x14ac:dyDescent="0.35"/>
    <row r="411" ht="14.25" customHeight="1" x14ac:dyDescent="0.35"/>
    <row r="412" ht="14.25" customHeight="1" x14ac:dyDescent="0.35"/>
    <row r="413" ht="14.25" customHeight="1" x14ac:dyDescent="0.35"/>
    <row r="414" ht="14.25" customHeight="1" x14ac:dyDescent="0.35"/>
    <row r="415" ht="14.25" customHeight="1" x14ac:dyDescent="0.35"/>
    <row r="416" ht="14.25" customHeight="1" x14ac:dyDescent="0.35"/>
    <row r="417" ht="14.25" customHeight="1" x14ac:dyDescent="0.35"/>
    <row r="418" ht="14.25" customHeight="1" x14ac:dyDescent="0.35"/>
    <row r="419" ht="14.25" customHeight="1" x14ac:dyDescent="0.35"/>
    <row r="420" ht="14.25" customHeight="1" x14ac:dyDescent="0.35"/>
    <row r="421" ht="14.25" customHeight="1" x14ac:dyDescent="0.35"/>
    <row r="422" ht="14.25" customHeight="1" x14ac:dyDescent="0.35"/>
    <row r="423" ht="14.25" customHeight="1" x14ac:dyDescent="0.35"/>
    <row r="424" ht="14.25" customHeight="1" x14ac:dyDescent="0.35"/>
    <row r="425" ht="14.25" customHeight="1" x14ac:dyDescent="0.35"/>
    <row r="426" ht="14.25" customHeight="1" x14ac:dyDescent="0.35"/>
    <row r="427" ht="14.25" customHeight="1" x14ac:dyDescent="0.35"/>
    <row r="428" ht="14.25" customHeight="1" x14ac:dyDescent="0.35"/>
    <row r="429" ht="14.25" customHeight="1" x14ac:dyDescent="0.35"/>
    <row r="430" ht="14.25" customHeight="1" x14ac:dyDescent="0.35"/>
    <row r="431" ht="14.25" customHeight="1" x14ac:dyDescent="0.35"/>
    <row r="432" ht="14.25" customHeight="1" x14ac:dyDescent="0.35"/>
    <row r="433" ht="14.25" customHeight="1" x14ac:dyDescent="0.35"/>
    <row r="434" ht="14.25" customHeight="1" x14ac:dyDescent="0.35"/>
    <row r="435" ht="14.25" customHeight="1" x14ac:dyDescent="0.35"/>
    <row r="436" ht="14.25" customHeight="1" x14ac:dyDescent="0.35"/>
    <row r="437" ht="14.25" customHeight="1" x14ac:dyDescent="0.35"/>
    <row r="438" ht="14.25" customHeight="1" x14ac:dyDescent="0.35"/>
    <row r="439" ht="14.25" customHeight="1" x14ac:dyDescent="0.35"/>
    <row r="440" ht="14.25" customHeight="1" x14ac:dyDescent="0.35"/>
    <row r="441" ht="14.25" customHeight="1" x14ac:dyDescent="0.35"/>
    <row r="442" ht="14.25" customHeight="1" x14ac:dyDescent="0.35"/>
    <row r="443" ht="14.25" customHeight="1" x14ac:dyDescent="0.35"/>
    <row r="444" ht="14.25" customHeight="1" x14ac:dyDescent="0.35"/>
    <row r="445" ht="14.25" customHeight="1" x14ac:dyDescent="0.35"/>
    <row r="446" ht="14.25" customHeight="1" x14ac:dyDescent="0.35"/>
    <row r="447" ht="14.25" customHeight="1" x14ac:dyDescent="0.35"/>
    <row r="448" ht="14.25" customHeight="1" x14ac:dyDescent="0.35"/>
    <row r="449" ht="14.25" customHeight="1" x14ac:dyDescent="0.35"/>
    <row r="450" ht="14.25" customHeight="1" x14ac:dyDescent="0.35"/>
    <row r="451" ht="14.25" customHeight="1" x14ac:dyDescent="0.35"/>
    <row r="452" ht="14.25" customHeight="1" x14ac:dyDescent="0.35"/>
    <row r="453" ht="14.25" customHeight="1" x14ac:dyDescent="0.35"/>
    <row r="454" ht="14.25" customHeight="1" x14ac:dyDescent="0.35"/>
    <row r="455" ht="14.25" customHeight="1" x14ac:dyDescent="0.35"/>
    <row r="456" ht="14.25" customHeight="1" x14ac:dyDescent="0.35"/>
    <row r="457" ht="14.25" customHeight="1" x14ac:dyDescent="0.35"/>
    <row r="458" ht="14.25" customHeight="1" x14ac:dyDescent="0.35"/>
    <row r="459" ht="14.25" customHeight="1" x14ac:dyDescent="0.35"/>
    <row r="460" ht="14.25" customHeight="1" x14ac:dyDescent="0.35"/>
    <row r="461" ht="14.25" customHeight="1" x14ac:dyDescent="0.35"/>
    <row r="462" ht="14.25" customHeight="1" x14ac:dyDescent="0.35"/>
    <row r="463" ht="14.25" customHeight="1" x14ac:dyDescent="0.35"/>
    <row r="464" ht="14.25" customHeight="1" x14ac:dyDescent="0.35"/>
    <row r="465" ht="14.25" customHeight="1" x14ac:dyDescent="0.35"/>
    <row r="466" ht="14.25" customHeight="1" x14ac:dyDescent="0.35"/>
    <row r="467" ht="14.25" customHeight="1" x14ac:dyDescent="0.35"/>
    <row r="468" ht="14.25" customHeight="1" x14ac:dyDescent="0.35"/>
    <row r="469" ht="14.25" customHeight="1" x14ac:dyDescent="0.35"/>
    <row r="470" ht="14.25" customHeight="1" x14ac:dyDescent="0.35"/>
    <row r="471" ht="14.25" customHeight="1" x14ac:dyDescent="0.35"/>
    <row r="472" ht="14.25" customHeight="1" x14ac:dyDescent="0.35"/>
    <row r="473" ht="14.25" customHeight="1" x14ac:dyDescent="0.35"/>
    <row r="474" ht="14.25" customHeight="1" x14ac:dyDescent="0.35"/>
    <row r="475" ht="14.25" customHeight="1" x14ac:dyDescent="0.35"/>
    <row r="476" ht="14.25" customHeight="1" x14ac:dyDescent="0.35"/>
    <row r="477" ht="14.25" customHeight="1" x14ac:dyDescent="0.35"/>
    <row r="478" ht="14.25" customHeight="1" x14ac:dyDescent="0.35"/>
    <row r="479" ht="14.25" customHeight="1" x14ac:dyDescent="0.35"/>
    <row r="480" ht="14.25" customHeight="1" x14ac:dyDescent="0.35"/>
    <row r="481" ht="14.25" customHeight="1" x14ac:dyDescent="0.35"/>
    <row r="482" ht="14.25" customHeight="1" x14ac:dyDescent="0.35"/>
    <row r="483" ht="14.25" customHeight="1" x14ac:dyDescent="0.35"/>
    <row r="484" ht="14.25" customHeight="1" x14ac:dyDescent="0.35"/>
    <row r="485" ht="14.25" customHeight="1" x14ac:dyDescent="0.35"/>
    <row r="486" ht="14.25" customHeight="1" x14ac:dyDescent="0.35"/>
    <row r="487" ht="14.25" customHeight="1" x14ac:dyDescent="0.35"/>
    <row r="488" ht="14.25" customHeight="1" x14ac:dyDescent="0.35"/>
    <row r="489" ht="14.25" customHeight="1" x14ac:dyDescent="0.35"/>
    <row r="490" ht="14.25" customHeight="1" x14ac:dyDescent="0.35"/>
    <row r="491" ht="14.25" customHeight="1" x14ac:dyDescent="0.35"/>
    <row r="492" ht="14.25" customHeight="1" x14ac:dyDescent="0.35"/>
    <row r="493" ht="14.25" customHeight="1" x14ac:dyDescent="0.35"/>
    <row r="494" ht="14.25" customHeight="1" x14ac:dyDescent="0.35"/>
    <row r="495" ht="14.25" customHeight="1" x14ac:dyDescent="0.35"/>
    <row r="496" ht="14.25" customHeight="1" x14ac:dyDescent="0.35"/>
    <row r="497" ht="14.25" customHeight="1" x14ac:dyDescent="0.35"/>
    <row r="498" ht="14.25" customHeight="1" x14ac:dyDescent="0.35"/>
    <row r="499" ht="14.25" customHeight="1" x14ac:dyDescent="0.35"/>
    <row r="500" ht="14.25" customHeight="1" x14ac:dyDescent="0.35"/>
    <row r="501" ht="14.25" customHeight="1" x14ac:dyDescent="0.35"/>
    <row r="502" ht="14.25" customHeight="1" x14ac:dyDescent="0.35"/>
    <row r="503" ht="14.25" customHeight="1" x14ac:dyDescent="0.35"/>
    <row r="504" ht="14.25" customHeight="1" x14ac:dyDescent="0.35"/>
    <row r="505" ht="14.25" customHeight="1" x14ac:dyDescent="0.35"/>
    <row r="506" ht="14.25" customHeight="1" x14ac:dyDescent="0.35"/>
    <row r="507" ht="14.25" customHeight="1" x14ac:dyDescent="0.35"/>
    <row r="508" ht="14.25" customHeight="1" x14ac:dyDescent="0.35"/>
    <row r="509" ht="14.25" customHeight="1" x14ac:dyDescent="0.35"/>
    <row r="510" ht="14.25" customHeight="1" x14ac:dyDescent="0.35"/>
    <row r="511" ht="14.25" customHeight="1" x14ac:dyDescent="0.35"/>
    <row r="512" ht="14.25" customHeight="1" x14ac:dyDescent="0.35"/>
    <row r="513" ht="14.25" customHeight="1" x14ac:dyDescent="0.35"/>
    <row r="514" ht="14.25" customHeight="1" x14ac:dyDescent="0.35"/>
    <row r="515" ht="14.25" customHeight="1" x14ac:dyDescent="0.35"/>
    <row r="516" ht="14.25" customHeight="1" x14ac:dyDescent="0.35"/>
    <row r="517" ht="14.25" customHeight="1" x14ac:dyDescent="0.35"/>
    <row r="518" ht="14.25" customHeight="1" x14ac:dyDescent="0.35"/>
    <row r="519" ht="14.25" customHeight="1" x14ac:dyDescent="0.35"/>
    <row r="520" ht="14.25" customHeight="1" x14ac:dyDescent="0.35"/>
    <row r="521" ht="14.25" customHeight="1" x14ac:dyDescent="0.35"/>
    <row r="522" ht="14.25" customHeight="1" x14ac:dyDescent="0.35"/>
    <row r="523" ht="14.25" customHeight="1" x14ac:dyDescent="0.35"/>
    <row r="524" ht="14.25" customHeight="1" x14ac:dyDescent="0.35"/>
    <row r="525" ht="14.25" customHeight="1" x14ac:dyDescent="0.35"/>
    <row r="526" ht="14.25" customHeight="1" x14ac:dyDescent="0.35"/>
    <row r="527" ht="14.25" customHeight="1" x14ac:dyDescent="0.35"/>
    <row r="528" ht="14.25" customHeight="1" x14ac:dyDescent="0.35"/>
    <row r="529" ht="14.25" customHeight="1" x14ac:dyDescent="0.35"/>
    <row r="530" ht="14.25" customHeight="1" x14ac:dyDescent="0.35"/>
    <row r="531" ht="14.25" customHeight="1" x14ac:dyDescent="0.35"/>
    <row r="532" ht="14.25" customHeight="1" x14ac:dyDescent="0.35"/>
    <row r="533" ht="14.25" customHeight="1" x14ac:dyDescent="0.35"/>
    <row r="534" ht="14.25" customHeight="1" x14ac:dyDescent="0.35"/>
    <row r="535" ht="14.25" customHeight="1" x14ac:dyDescent="0.35"/>
    <row r="536" ht="14.25" customHeight="1" x14ac:dyDescent="0.35"/>
    <row r="537" ht="14.25" customHeight="1" x14ac:dyDescent="0.35"/>
    <row r="538" ht="14.25" customHeight="1" x14ac:dyDescent="0.35"/>
    <row r="539" ht="14.25" customHeight="1" x14ac:dyDescent="0.35"/>
    <row r="540" ht="14.25" customHeight="1" x14ac:dyDescent="0.35"/>
    <row r="541" ht="14.25" customHeight="1" x14ac:dyDescent="0.35"/>
    <row r="542" ht="14.25" customHeight="1" x14ac:dyDescent="0.35"/>
    <row r="543" ht="14.25" customHeight="1" x14ac:dyDescent="0.35"/>
    <row r="544" ht="14.25" customHeight="1" x14ac:dyDescent="0.35"/>
    <row r="545" ht="14.25" customHeight="1" x14ac:dyDescent="0.35"/>
    <row r="546" ht="14.25" customHeight="1" x14ac:dyDescent="0.35"/>
    <row r="547" ht="14.25" customHeight="1" x14ac:dyDescent="0.35"/>
    <row r="548" ht="14.25" customHeight="1" x14ac:dyDescent="0.35"/>
    <row r="549" ht="14.25" customHeight="1" x14ac:dyDescent="0.35"/>
    <row r="550" ht="14.25" customHeight="1" x14ac:dyDescent="0.35"/>
    <row r="551" ht="14.25" customHeight="1" x14ac:dyDescent="0.35"/>
    <row r="552" ht="14.25" customHeight="1" x14ac:dyDescent="0.35"/>
    <row r="553" ht="14.25" customHeight="1" x14ac:dyDescent="0.35"/>
    <row r="554" ht="14.25" customHeight="1" x14ac:dyDescent="0.35"/>
    <row r="555" ht="14.25" customHeight="1" x14ac:dyDescent="0.35"/>
    <row r="556" ht="14.25" customHeight="1" x14ac:dyDescent="0.35"/>
    <row r="557" ht="14.25" customHeight="1" x14ac:dyDescent="0.35"/>
    <row r="558" ht="14.25" customHeight="1" x14ac:dyDescent="0.35"/>
    <row r="559" ht="14.25" customHeight="1" x14ac:dyDescent="0.35"/>
    <row r="560" ht="14.25" customHeight="1" x14ac:dyDescent="0.35"/>
    <row r="561" ht="14.25" customHeight="1" x14ac:dyDescent="0.35"/>
    <row r="562" ht="14.25" customHeight="1" x14ac:dyDescent="0.35"/>
    <row r="563" ht="14.25" customHeight="1" x14ac:dyDescent="0.35"/>
    <row r="564" ht="14.25" customHeight="1" x14ac:dyDescent="0.35"/>
    <row r="565" ht="14.25" customHeight="1" x14ac:dyDescent="0.35"/>
    <row r="566" ht="14.25" customHeight="1" x14ac:dyDescent="0.35"/>
    <row r="567" ht="14.25" customHeight="1" x14ac:dyDescent="0.35"/>
    <row r="568" ht="14.25" customHeight="1" x14ac:dyDescent="0.35"/>
    <row r="569" ht="14.25" customHeight="1" x14ac:dyDescent="0.35"/>
    <row r="570" ht="14.25" customHeight="1" x14ac:dyDescent="0.35"/>
    <row r="571" ht="14.25" customHeight="1" x14ac:dyDescent="0.35"/>
    <row r="572" ht="14.25" customHeight="1" x14ac:dyDescent="0.35"/>
    <row r="573" ht="14.25" customHeight="1" x14ac:dyDescent="0.35"/>
    <row r="574" ht="14.25" customHeight="1" x14ac:dyDescent="0.35"/>
    <row r="575" ht="14.25" customHeight="1" x14ac:dyDescent="0.35"/>
    <row r="576" ht="14.25" customHeight="1" x14ac:dyDescent="0.35"/>
    <row r="577" ht="14.25" customHeight="1" x14ac:dyDescent="0.35"/>
    <row r="578" ht="14.25" customHeight="1" x14ac:dyDescent="0.35"/>
    <row r="579" ht="14.25" customHeight="1" x14ac:dyDescent="0.35"/>
    <row r="580" ht="14.25" customHeight="1" x14ac:dyDescent="0.35"/>
    <row r="581" ht="14.25" customHeight="1" x14ac:dyDescent="0.35"/>
    <row r="582" ht="14.25" customHeight="1" x14ac:dyDescent="0.35"/>
    <row r="583" ht="14.25" customHeight="1" x14ac:dyDescent="0.35"/>
    <row r="584" ht="14.25" customHeight="1" x14ac:dyDescent="0.35"/>
    <row r="585" ht="14.25" customHeight="1" x14ac:dyDescent="0.35"/>
    <row r="586" ht="14.25" customHeight="1" x14ac:dyDescent="0.35"/>
    <row r="587" ht="14.25" customHeight="1" x14ac:dyDescent="0.35"/>
    <row r="588" ht="14.25" customHeight="1" x14ac:dyDescent="0.35"/>
    <row r="589" ht="14.25" customHeight="1" x14ac:dyDescent="0.35"/>
    <row r="590" ht="14.25" customHeight="1" x14ac:dyDescent="0.35"/>
    <row r="591" ht="14.25" customHeight="1" x14ac:dyDescent="0.35"/>
    <row r="592" ht="14.25" customHeight="1" x14ac:dyDescent="0.35"/>
    <row r="593" ht="14.25" customHeight="1" x14ac:dyDescent="0.35"/>
    <row r="594" ht="14.25" customHeight="1" x14ac:dyDescent="0.35"/>
    <row r="595" ht="14.25" customHeight="1" x14ac:dyDescent="0.35"/>
    <row r="596" ht="14.25" customHeight="1" x14ac:dyDescent="0.35"/>
    <row r="597" ht="14.25" customHeight="1" x14ac:dyDescent="0.35"/>
    <row r="598" ht="14.25" customHeight="1" x14ac:dyDescent="0.35"/>
    <row r="599" ht="14.25" customHeight="1" x14ac:dyDescent="0.35"/>
    <row r="600" ht="14.25" customHeight="1" x14ac:dyDescent="0.35"/>
    <row r="601" ht="14.25" customHeight="1" x14ac:dyDescent="0.35"/>
    <row r="602" ht="14.25" customHeight="1" x14ac:dyDescent="0.35"/>
    <row r="603" ht="14.25" customHeight="1" x14ac:dyDescent="0.35"/>
    <row r="604" ht="14.25" customHeight="1" x14ac:dyDescent="0.35"/>
    <row r="605" ht="14.25" customHeight="1" x14ac:dyDescent="0.35"/>
    <row r="606" ht="14.25" customHeight="1" x14ac:dyDescent="0.35"/>
    <row r="607" ht="14.25" customHeight="1" x14ac:dyDescent="0.35"/>
    <row r="608" ht="14.25" customHeight="1" x14ac:dyDescent="0.35"/>
    <row r="609" ht="14.25" customHeight="1" x14ac:dyDescent="0.35"/>
    <row r="610" ht="14.25" customHeight="1" x14ac:dyDescent="0.35"/>
    <row r="611" ht="14.25" customHeight="1" x14ac:dyDescent="0.35"/>
    <row r="612" ht="14.25" customHeight="1" x14ac:dyDescent="0.35"/>
    <row r="613" ht="14.25" customHeight="1" x14ac:dyDescent="0.35"/>
    <row r="614" ht="14.25" customHeight="1" x14ac:dyDescent="0.35"/>
    <row r="615" ht="14.25" customHeight="1" x14ac:dyDescent="0.35"/>
    <row r="616" ht="14.25" customHeight="1" x14ac:dyDescent="0.35"/>
    <row r="617" ht="14.25" customHeight="1" x14ac:dyDescent="0.35"/>
    <row r="618" ht="14.25" customHeight="1" x14ac:dyDescent="0.35"/>
    <row r="619" ht="14.25" customHeight="1" x14ac:dyDescent="0.35"/>
    <row r="620" ht="14.25" customHeight="1" x14ac:dyDescent="0.35"/>
    <row r="621" ht="14.25" customHeight="1" x14ac:dyDescent="0.35"/>
    <row r="622" ht="14.25" customHeight="1" x14ac:dyDescent="0.35"/>
    <row r="623" ht="14.25" customHeight="1" x14ac:dyDescent="0.35"/>
    <row r="624" ht="14.25" customHeight="1" x14ac:dyDescent="0.35"/>
    <row r="625" ht="14.25" customHeight="1" x14ac:dyDescent="0.35"/>
    <row r="626" ht="14.25" customHeight="1" x14ac:dyDescent="0.35"/>
    <row r="627" ht="14.25" customHeight="1" x14ac:dyDescent="0.35"/>
    <row r="628" ht="14.25" customHeight="1" x14ac:dyDescent="0.35"/>
    <row r="629" ht="14.25" customHeight="1" x14ac:dyDescent="0.35"/>
    <row r="630" ht="14.25" customHeight="1" x14ac:dyDescent="0.35"/>
    <row r="631" ht="14.25" customHeight="1" x14ac:dyDescent="0.35"/>
    <row r="632" ht="14.25" customHeight="1" x14ac:dyDescent="0.35"/>
    <row r="633" ht="14.25" customHeight="1" x14ac:dyDescent="0.35"/>
    <row r="634" ht="14.25" customHeight="1" x14ac:dyDescent="0.35"/>
    <row r="635" ht="14.25" customHeight="1" x14ac:dyDescent="0.35"/>
    <row r="636" ht="14.25" customHeight="1" x14ac:dyDescent="0.35"/>
    <row r="637" ht="14.25" customHeight="1" x14ac:dyDescent="0.35"/>
    <row r="638" ht="14.25" customHeight="1" x14ac:dyDescent="0.35"/>
    <row r="639" ht="14.25" customHeight="1" x14ac:dyDescent="0.35"/>
    <row r="640" ht="14.25" customHeight="1" x14ac:dyDescent="0.35"/>
    <row r="641" ht="14.25" customHeight="1" x14ac:dyDescent="0.35"/>
    <row r="642" ht="14.25" customHeight="1" x14ac:dyDescent="0.35"/>
    <row r="643" ht="14.25" customHeight="1" x14ac:dyDescent="0.35"/>
    <row r="644" ht="14.25" customHeight="1" x14ac:dyDescent="0.35"/>
    <row r="645" ht="14.25" customHeight="1" x14ac:dyDescent="0.35"/>
    <row r="646" ht="14.25" customHeight="1" x14ac:dyDescent="0.35"/>
    <row r="647" ht="14.25" customHeight="1" x14ac:dyDescent="0.35"/>
    <row r="648" ht="14.25" customHeight="1" x14ac:dyDescent="0.35"/>
    <row r="649" ht="14.25" customHeight="1" x14ac:dyDescent="0.35"/>
    <row r="650" ht="14.25" customHeight="1" x14ac:dyDescent="0.35"/>
    <row r="651" ht="14.25" customHeight="1" x14ac:dyDescent="0.35"/>
    <row r="652" ht="14.25" customHeight="1" x14ac:dyDescent="0.35"/>
    <row r="653" ht="14.25" customHeight="1" x14ac:dyDescent="0.35"/>
    <row r="654" ht="14.25" customHeight="1" x14ac:dyDescent="0.35"/>
    <row r="655" ht="14.25" customHeight="1" x14ac:dyDescent="0.35"/>
    <row r="656" ht="14.25" customHeight="1" x14ac:dyDescent="0.35"/>
    <row r="657" ht="14.25" customHeight="1" x14ac:dyDescent="0.35"/>
    <row r="658" ht="14.25" customHeight="1" x14ac:dyDescent="0.35"/>
    <row r="659" ht="14.25" customHeight="1" x14ac:dyDescent="0.35"/>
    <row r="660" ht="14.25" customHeight="1" x14ac:dyDescent="0.35"/>
    <row r="661" ht="14.25" customHeight="1" x14ac:dyDescent="0.35"/>
    <row r="662" ht="14.25" customHeight="1" x14ac:dyDescent="0.35"/>
    <row r="663" ht="14.25" customHeight="1" x14ac:dyDescent="0.35"/>
    <row r="664" ht="14.25" customHeight="1" x14ac:dyDescent="0.35"/>
    <row r="665" ht="14.25" customHeight="1" x14ac:dyDescent="0.35"/>
    <row r="666" ht="14.25" customHeight="1" x14ac:dyDescent="0.35"/>
    <row r="667" ht="14.25" customHeight="1" x14ac:dyDescent="0.35"/>
    <row r="668" ht="14.25" customHeight="1" x14ac:dyDescent="0.35"/>
    <row r="669" ht="14.25" customHeight="1" x14ac:dyDescent="0.35"/>
    <row r="670" ht="14.25" customHeight="1" x14ac:dyDescent="0.35"/>
    <row r="671" ht="14.25" customHeight="1" x14ac:dyDescent="0.35"/>
    <row r="672" ht="14.25" customHeight="1" x14ac:dyDescent="0.35"/>
    <row r="673" ht="14.25" customHeight="1" x14ac:dyDescent="0.35"/>
    <row r="674" ht="14.25" customHeight="1" x14ac:dyDescent="0.35"/>
    <row r="675" ht="14.25" customHeight="1" x14ac:dyDescent="0.35"/>
    <row r="676" ht="14.25" customHeight="1" x14ac:dyDescent="0.35"/>
    <row r="677" ht="14.25" customHeight="1" x14ac:dyDescent="0.35"/>
    <row r="678" ht="14.25" customHeight="1" x14ac:dyDescent="0.35"/>
    <row r="679" ht="14.25" customHeight="1" x14ac:dyDescent="0.35"/>
    <row r="680" ht="14.25" customHeight="1" x14ac:dyDescent="0.35"/>
    <row r="681" ht="14.25" customHeight="1" x14ac:dyDescent="0.35"/>
    <row r="682" ht="14.25" customHeight="1" x14ac:dyDescent="0.35"/>
    <row r="683" ht="14.25" customHeight="1" x14ac:dyDescent="0.35"/>
    <row r="684" ht="14.25" customHeight="1" x14ac:dyDescent="0.35"/>
    <row r="685" ht="14.25" customHeight="1" x14ac:dyDescent="0.35"/>
    <row r="686" ht="14.25" customHeight="1" x14ac:dyDescent="0.35"/>
    <row r="687" ht="14.25" customHeight="1" x14ac:dyDescent="0.35"/>
    <row r="688" ht="14.25" customHeight="1" x14ac:dyDescent="0.35"/>
    <row r="689" ht="14.25" customHeight="1" x14ac:dyDescent="0.35"/>
    <row r="690" ht="14.25" customHeight="1" x14ac:dyDescent="0.35"/>
    <row r="691" ht="14.25" customHeight="1" x14ac:dyDescent="0.35"/>
    <row r="692" ht="14.25" customHeight="1" x14ac:dyDescent="0.35"/>
    <row r="693" ht="14.25" customHeight="1" x14ac:dyDescent="0.35"/>
    <row r="694" ht="14.25" customHeight="1" x14ac:dyDescent="0.35"/>
    <row r="695" ht="14.25" customHeight="1" x14ac:dyDescent="0.35"/>
    <row r="696" ht="14.25" customHeight="1" x14ac:dyDescent="0.35"/>
    <row r="697" ht="14.25" customHeight="1" x14ac:dyDescent="0.35"/>
    <row r="698" ht="14.25" customHeight="1" x14ac:dyDescent="0.35"/>
    <row r="699" ht="14.25" customHeight="1" x14ac:dyDescent="0.35"/>
    <row r="700" ht="14.25" customHeight="1" x14ac:dyDescent="0.35"/>
    <row r="701" ht="14.25" customHeight="1" x14ac:dyDescent="0.35"/>
    <row r="702" ht="14.25" customHeight="1" x14ac:dyDescent="0.35"/>
    <row r="703" ht="14.25" customHeight="1" x14ac:dyDescent="0.35"/>
    <row r="704" ht="14.25" customHeight="1" x14ac:dyDescent="0.35"/>
    <row r="705" ht="14.25" customHeight="1" x14ac:dyDescent="0.35"/>
    <row r="706" ht="14.25" customHeight="1" x14ac:dyDescent="0.35"/>
    <row r="707" ht="14.25" customHeight="1" x14ac:dyDescent="0.35"/>
    <row r="708" ht="14.25" customHeight="1" x14ac:dyDescent="0.35"/>
    <row r="709" ht="14.25" customHeight="1" x14ac:dyDescent="0.35"/>
    <row r="710" ht="14.25" customHeight="1" x14ac:dyDescent="0.35"/>
    <row r="711" ht="14.25" customHeight="1" x14ac:dyDescent="0.35"/>
    <row r="712" ht="14.25" customHeight="1" x14ac:dyDescent="0.35"/>
    <row r="713" ht="14.25" customHeight="1" x14ac:dyDescent="0.35"/>
    <row r="714" ht="14.25" customHeight="1" x14ac:dyDescent="0.35"/>
    <row r="715" ht="14.25" customHeight="1" x14ac:dyDescent="0.35"/>
    <row r="716" ht="14.25" customHeight="1" x14ac:dyDescent="0.35"/>
    <row r="717" ht="14.25" customHeight="1" x14ac:dyDescent="0.35"/>
    <row r="718" ht="14.25" customHeight="1" x14ac:dyDescent="0.35"/>
    <row r="719" ht="14.25" customHeight="1" x14ac:dyDescent="0.35"/>
    <row r="720" ht="14.25" customHeight="1" x14ac:dyDescent="0.35"/>
    <row r="721" ht="14.25" customHeight="1" x14ac:dyDescent="0.35"/>
    <row r="722" ht="14.25" customHeight="1" x14ac:dyDescent="0.35"/>
    <row r="723" ht="14.25" customHeight="1" x14ac:dyDescent="0.35"/>
    <row r="724" ht="14.25" customHeight="1" x14ac:dyDescent="0.35"/>
    <row r="725" ht="14.25" customHeight="1" x14ac:dyDescent="0.35"/>
    <row r="726" ht="14.25" customHeight="1" x14ac:dyDescent="0.35"/>
    <row r="727" ht="14.25" customHeight="1" x14ac:dyDescent="0.35"/>
    <row r="728" ht="14.25" customHeight="1" x14ac:dyDescent="0.35"/>
    <row r="729" ht="14.25" customHeight="1" x14ac:dyDescent="0.35"/>
    <row r="730" ht="14.25" customHeight="1" x14ac:dyDescent="0.35"/>
    <row r="731" ht="14.25" customHeight="1" x14ac:dyDescent="0.35"/>
    <row r="732" ht="14.25" customHeight="1" x14ac:dyDescent="0.35"/>
    <row r="733" ht="14.25" customHeight="1" x14ac:dyDescent="0.35"/>
    <row r="734" ht="14.25" customHeight="1" x14ac:dyDescent="0.35"/>
    <row r="735" ht="14.25" customHeight="1" x14ac:dyDescent="0.35"/>
    <row r="736" ht="14.25" customHeight="1" x14ac:dyDescent="0.35"/>
    <row r="737" ht="14.25" customHeight="1" x14ac:dyDescent="0.35"/>
    <row r="738" ht="14.25" customHeight="1" x14ac:dyDescent="0.35"/>
    <row r="739" ht="14.25" customHeight="1" x14ac:dyDescent="0.35"/>
    <row r="740" ht="14.25" customHeight="1" x14ac:dyDescent="0.35"/>
    <row r="741" ht="14.25" customHeight="1" x14ac:dyDescent="0.35"/>
    <row r="742" ht="14.25" customHeight="1" x14ac:dyDescent="0.35"/>
    <row r="743" ht="14.25" customHeight="1" x14ac:dyDescent="0.35"/>
    <row r="744" ht="14.25" customHeight="1" x14ac:dyDescent="0.35"/>
    <row r="745" ht="14.25" customHeight="1" x14ac:dyDescent="0.35"/>
    <row r="746" ht="14.25" customHeight="1" x14ac:dyDescent="0.35"/>
    <row r="747" ht="14.25" customHeight="1" x14ac:dyDescent="0.35"/>
    <row r="748" ht="14.25" customHeight="1" x14ac:dyDescent="0.35"/>
    <row r="749" ht="14.25" customHeight="1" x14ac:dyDescent="0.35"/>
    <row r="750" ht="14.25" customHeight="1" x14ac:dyDescent="0.35"/>
    <row r="751" ht="14.25" customHeight="1" x14ac:dyDescent="0.35"/>
    <row r="752" ht="14.25" customHeight="1" x14ac:dyDescent="0.35"/>
    <row r="753" ht="14.25" customHeight="1" x14ac:dyDescent="0.35"/>
    <row r="754" ht="14.25" customHeight="1" x14ac:dyDescent="0.35"/>
    <row r="755" ht="14.25" customHeight="1" x14ac:dyDescent="0.35"/>
    <row r="756" ht="14.25" customHeight="1" x14ac:dyDescent="0.35"/>
    <row r="757" ht="14.25" customHeight="1" x14ac:dyDescent="0.35"/>
    <row r="758" ht="14.25" customHeight="1" x14ac:dyDescent="0.35"/>
    <row r="759" ht="14.25" customHeight="1" x14ac:dyDescent="0.35"/>
    <row r="760" ht="14.25" customHeight="1" x14ac:dyDescent="0.35"/>
    <row r="761" ht="14.25" customHeight="1" x14ac:dyDescent="0.35"/>
    <row r="762" ht="14.25" customHeight="1" x14ac:dyDescent="0.35"/>
    <row r="763" ht="14.25" customHeight="1" x14ac:dyDescent="0.35"/>
    <row r="764" ht="14.25" customHeight="1" x14ac:dyDescent="0.35"/>
    <row r="765" ht="14.25" customHeight="1" x14ac:dyDescent="0.35"/>
    <row r="766" ht="14.25" customHeight="1" x14ac:dyDescent="0.35"/>
    <row r="767" ht="14.25" customHeight="1" x14ac:dyDescent="0.35"/>
    <row r="768" ht="14.25" customHeight="1" x14ac:dyDescent="0.35"/>
    <row r="769" ht="14.25" customHeight="1" x14ac:dyDescent="0.35"/>
    <row r="770" ht="14.25" customHeight="1" x14ac:dyDescent="0.35"/>
    <row r="771" ht="14.25" customHeight="1" x14ac:dyDescent="0.35"/>
    <row r="772" ht="14.25" customHeight="1" x14ac:dyDescent="0.35"/>
    <row r="773" ht="14.25" customHeight="1" x14ac:dyDescent="0.35"/>
    <row r="774" ht="14.25" customHeight="1" x14ac:dyDescent="0.35"/>
    <row r="775" ht="14.25" customHeight="1" x14ac:dyDescent="0.35"/>
    <row r="776" ht="14.25" customHeight="1" x14ac:dyDescent="0.35"/>
    <row r="777" ht="14.25" customHeight="1" x14ac:dyDescent="0.35"/>
    <row r="778" ht="14.25" customHeight="1" x14ac:dyDescent="0.35"/>
    <row r="779" ht="14.25" customHeight="1" x14ac:dyDescent="0.35"/>
    <row r="780" ht="14.25" customHeight="1" x14ac:dyDescent="0.35"/>
    <row r="781" ht="14.25" customHeight="1" x14ac:dyDescent="0.35"/>
    <row r="782" ht="14.25" customHeight="1" x14ac:dyDescent="0.35"/>
    <row r="783" ht="14.25" customHeight="1" x14ac:dyDescent="0.35"/>
    <row r="784" ht="14.25" customHeight="1" x14ac:dyDescent="0.35"/>
    <row r="785" ht="14.25" customHeight="1" x14ac:dyDescent="0.35"/>
    <row r="786" ht="14.25" customHeight="1" x14ac:dyDescent="0.35"/>
    <row r="787" ht="14.25" customHeight="1" x14ac:dyDescent="0.35"/>
    <row r="788" ht="14.25" customHeight="1" x14ac:dyDescent="0.35"/>
    <row r="789" ht="14.25" customHeight="1" x14ac:dyDescent="0.35"/>
    <row r="790" ht="14.25" customHeight="1" x14ac:dyDescent="0.35"/>
    <row r="791" ht="14.25" customHeight="1" x14ac:dyDescent="0.35"/>
    <row r="792" ht="14.25" customHeight="1" x14ac:dyDescent="0.35"/>
    <row r="793" ht="14.25" customHeight="1" x14ac:dyDescent="0.35"/>
    <row r="794" ht="14.25" customHeight="1" x14ac:dyDescent="0.35"/>
    <row r="795" ht="14.25" customHeight="1" x14ac:dyDescent="0.35"/>
    <row r="796" ht="14.25" customHeight="1" x14ac:dyDescent="0.35"/>
    <row r="797" ht="14.25" customHeight="1" x14ac:dyDescent="0.35"/>
    <row r="798" ht="14.25" customHeight="1" x14ac:dyDescent="0.35"/>
    <row r="799" ht="14.25" customHeight="1" x14ac:dyDescent="0.35"/>
    <row r="800" ht="14.25" customHeight="1" x14ac:dyDescent="0.35"/>
    <row r="801" ht="14.25" customHeight="1" x14ac:dyDescent="0.35"/>
    <row r="802" ht="14.25" customHeight="1" x14ac:dyDescent="0.35"/>
    <row r="803" ht="14.25" customHeight="1" x14ac:dyDescent="0.35"/>
    <row r="804" ht="14.25" customHeight="1" x14ac:dyDescent="0.35"/>
    <row r="805" ht="14.25" customHeight="1" x14ac:dyDescent="0.35"/>
    <row r="806" ht="14.25" customHeight="1" x14ac:dyDescent="0.35"/>
    <row r="807" ht="14.25" customHeight="1" x14ac:dyDescent="0.35"/>
    <row r="808" ht="14.25" customHeight="1" x14ac:dyDescent="0.35"/>
    <row r="809" ht="14.25" customHeight="1" x14ac:dyDescent="0.35"/>
    <row r="810" ht="14.25" customHeight="1" x14ac:dyDescent="0.35"/>
    <row r="811" ht="14.25" customHeight="1" x14ac:dyDescent="0.35"/>
    <row r="812" ht="14.25" customHeight="1" x14ac:dyDescent="0.35"/>
    <row r="813" ht="14.25" customHeight="1" x14ac:dyDescent="0.35"/>
    <row r="814" ht="14.25" customHeight="1" x14ac:dyDescent="0.35"/>
    <row r="815" ht="14.25" customHeight="1" x14ac:dyDescent="0.35"/>
    <row r="816" ht="14.25" customHeight="1" x14ac:dyDescent="0.35"/>
    <row r="817" ht="14.25" customHeight="1" x14ac:dyDescent="0.35"/>
    <row r="818" ht="14.25" customHeight="1" x14ac:dyDescent="0.35"/>
    <row r="819" ht="14.25" customHeight="1" x14ac:dyDescent="0.35"/>
    <row r="820" ht="14.25" customHeight="1" x14ac:dyDescent="0.35"/>
    <row r="821" ht="14.25" customHeight="1" x14ac:dyDescent="0.35"/>
    <row r="822" ht="14.25" customHeight="1" x14ac:dyDescent="0.35"/>
    <row r="823" ht="14.25" customHeight="1" x14ac:dyDescent="0.35"/>
    <row r="824" ht="14.25" customHeight="1" x14ac:dyDescent="0.35"/>
    <row r="825" ht="14.25" customHeight="1" x14ac:dyDescent="0.35"/>
    <row r="826" ht="14.25" customHeight="1" x14ac:dyDescent="0.35"/>
    <row r="827" ht="14.25" customHeight="1" x14ac:dyDescent="0.35"/>
    <row r="828" ht="14.25" customHeight="1" x14ac:dyDescent="0.35"/>
    <row r="829" ht="14.25" customHeight="1" x14ac:dyDescent="0.35"/>
    <row r="830" ht="14.25" customHeight="1" x14ac:dyDescent="0.35"/>
    <row r="831" ht="14.25" customHeight="1" x14ac:dyDescent="0.35"/>
    <row r="832" ht="14.25" customHeight="1" x14ac:dyDescent="0.35"/>
    <row r="833" ht="14.25" customHeight="1" x14ac:dyDescent="0.35"/>
    <row r="834" ht="14.25" customHeight="1" x14ac:dyDescent="0.35"/>
    <row r="835" ht="14.25" customHeight="1" x14ac:dyDescent="0.35"/>
    <row r="836" ht="14.25" customHeight="1" x14ac:dyDescent="0.35"/>
    <row r="837" ht="14.25" customHeight="1" x14ac:dyDescent="0.35"/>
    <row r="838" ht="14.25" customHeight="1" x14ac:dyDescent="0.35"/>
    <row r="839" ht="14.25" customHeight="1" x14ac:dyDescent="0.35"/>
    <row r="840" ht="14.25" customHeight="1" x14ac:dyDescent="0.35"/>
    <row r="841" ht="14.25" customHeight="1" x14ac:dyDescent="0.35"/>
    <row r="842" ht="14.25" customHeight="1" x14ac:dyDescent="0.35"/>
    <row r="843" ht="14.25" customHeight="1" x14ac:dyDescent="0.35"/>
    <row r="844" ht="14.25" customHeight="1" x14ac:dyDescent="0.35"/>
    <row r="845" ht="14.25" customHeight="1" x14ac:dyDescent="0.35"/>
    <row r="846" ht="14.25" customHeight="1" x14ac:dyDescent="0.35"/>
    <row r="847" ht="14.25" customHeight="1" x14ac:dyDescent="0.35"/>
    <row r="848" ht="14.25" customHeight="1" x14ac:dyDescent="0.35"/>
    <row r="849" ht="14.25" customHeight="1" x14ac:dyDescent="0.35"/>
    <row r="850" ht="14.25" customHeight="1" x14ac:dyDescent="0.35"/>
    <row r="851" ht="14.25" customHeight="1" x14ac:dyDescent="0.35"/>
    <row r="852" ht="14.25" customHeight="1" x14ac:dyDescent="0.35"/>
    <row r="853" ht="14.25" customHeight="1" x14ac:dyDescent="0.35"/>
    <row r="854" ht="14.25" customHeight="1" x14ac:dyDescent="0.35"/>
    <row r="855" ht="14.25" customHeight="1" x14ac:dyDescent="0.35"/>
    <row r="856" ht="14.25" customHeight="1" x14ac:dyDescent="0.35"/>
    <row r="857" ht="14.25" customHeight="1" x14ac:dyDescent="0.35"/>
    <row r="858" ht="14.25" customHeight="1" x14ac:dyDescent="0.35"/>
    <row r="859" ht="14.25" customHeight="1" x14ac:dyDescent="0.35"/>
    <row r="860" ht="14.25" customHeight="1" x14ac:dyDescent="0.35"/>
    <row r="861" ht="14.25" customHeight="1" x14ac:dyDescent="0.35"/>
    <row r="862" ht="14.25" customHeight="1" x14ac:dyDescent="0.35"/>
    <row r="863" ht="14.25" customHeight="1" x14ac:dyDescent="0.35"/>
    <row r="864" ht="14.25" customHeight="1" x14ac:dyDescent="0.35"/>
    <row r="865" ht="14.25" customHeight="1" x14ac:dyDescent="0.35"/>
    <row r="866" ht="14.25" customHeight="1" x14ac:dyDescent="0.35"/>
    <row r="867" ht="14.25" customHeight="1" x14ac:dyDescent="0.35"/>
    <row r="868" ht="14.25" customHeight="1" x14ac:dyDescent="0.35"/>
    <row r="869" ht="14.25" customHeight="1" x14ac:dyDescent="0.35"/>
    <row r="870" ht="14.25" customHeight="1" x14ac:dyDescent="0.35"/>
    <row r="871" ht="14.25" customHeight="1" x14ac:dyDescent="0.35"/>
    <row r="872" ht="14.25" customHeight="1" x14ac:dyDescent="0.35"/>
    <row r="873" ht="14.25" customHeight="1" x14ac:dyDescent="0.35"/>
    <row r="874" ht="14.25" customHeight="1" x14ac:dyDescent="0.35"/>
    <row r="875" ht="14.25" customHeight="1" x14ac:dyDescent="0.35"/>
    <row r="876" ht="14.25" customHeight="1" x14ac:dyDescent="0.35"/>
    <row r="877" ht="14.25" customHeight="1" x14ac:dyDescent="0.35"/>
    <row r="878" ht="14.25" customHeight="1" x14ac:dyDescent="0.35"/>
    <row r="879" ht="14.25" customHeight="1" x14ac:dyDescent="0.35"/>
    <row r="880" ht="14.25" customHeight="1" x14ac:dyDescent="0.35"/>
    <row r="881" ht="14.25" customHeight="1" x14ac:dyDescent="0.35"/>
    <row r="882" ht="14.25" customHeight="1" x14ac:dyDescent="0.35"/>
    <row r="883" ht="14.25" customHeight="1" x14ac:dyDescent="0.35"/>
    <row r="884" ht="14.25" customHeight="1" x14ac:dyDescent="0.35"/>
    <row r="885" ht="14.25" customHeight="1" x14ac:dyDescent="0.35"/>
    <row r="886" ht="14.25" customHeight="1" x14ac:dyDescent="0.35"/>
    <row r="887" ht="14.25" customHeight="1" x14ac:dyDescent="0.35"/>
    <row r="888" ht="14.25" customHeight="1" x14ac:dyDescent="0.35"/>
    <row r="889" ht="14.25" customHeight="1" x14ac:dyDescent="0.35"/>
    <row r="890" ht="14.25" customHeight="1" x14ac:dyDescent="0.35"/>
    <row r="891" ht="14.25" customHeight="1" x14ac:dyDescent="0.35"/>
    <row r="892" ht="14.25" customHeight="1" x14ac:dyDescent="0.35"/>
    <row r="893" ht="14.25" customHeight="1" x14ac:dyDescent="0.35"/>
    <row r="894" ht="14.25" customHeight="1" x14ac:dyDescent="0.35"/>
    <row r="895" ht="14.25" customHeight="1" x14ac:dyDescent="0.35"/>
    <row r="896" ht="14.25" customHeight="1" x14ac:dyDescent="0.35"/>
    <row r="897" ht="14.25" customHeight="1" x14ac:dyDescent="0.35"/>
    <row r="898" ht="14.25" customHeight="1" x14ac:dyDescent="0.35"/>
    <row r="899" ht="14.25" customHeight="1" x14ac:dyDescent="0.35"/>
    <row r="900" ht="14.25" customHeight="1" x14ac:dyDescent="0.35"/>
    <row r="901" ht="14.25" customHeight="1" x14ac:dyDescent="0.35"/>
    <row r="902" ht="14.25" customHeight="1" x14ac:dyDescent="0.35"/>
    <row r="903" ht="14.25" customHeight="1" x14ac:dyDescent="0.35"/>
    <row r="904" ht="14.25" customHeight="1" x14ac:dyDescent="0.35"/>
    <row r="905" ht="14.25" customHeight="1" x14ac:dyDescent="0.35"/>
    <row r="906" ht="14.25" customHeight="1" x14ac:dyDescent="0.35"/>
    <row r="907" ht="14.25" customHeight="1" x14ac:dyDescent="0.35"/>
    <row r="908" ht="14.25" customHeight="1" x14ac:dyDescent="0.35"/>
    <row r="909" ht="14.25" customHeight="1" x14ac:dyDescent="0.35"/>
    <row r="910" ht="14.25" customHeight="1" x14ac:dyDescent="0.35"/>
    <row r="911" ht="14.25" customHeight="1" x14ac:dyDescent="0.35"/>
    <row r="912" ht="14.25" customHeight="1" x14ac:dyDescent="0.35"/>
    <row r="913" ht="14.25" customHeight="1" x14ac:dyDescent="0.35"/>
    <row r="914" ht="14.25" customHeight="1" x14ac:dyDescent="0.35"/>
    <row r="915" ht="14.25" customHeight="1" x14ac:dyDescent="0.35"/>
    <row r="916" ht="14.25" customHeight="1" x14ac:dyDescent="0.35"/>
    <row r="917" ht="14.25" customHeight="1" x14ac:dyDescent="0.35"/>
    <row r="918" ht="14.25" customHeight="1" x14ac:dyDescent="0.35"/>
    <row r="919" ht="14.25" customHeight="1" x14ac:dyDescent="0.35"/>
    <row r="920" ht="14.25" customHeight="1" x14ac:dyDescent="0.35"/>
    <row r="921" ht="14.25" customHeight="1" x14ac:dyDescent="0.35"/>
    <row r="922" ht="14.25" customHeight="1" x14ac:dyDescent="0.35"/>
    <row r="923" ht="14.25" customHeight="1" x14ac:dyDescent="0.35"/>
    <row r="924" ht="14.25" customHeight="1" x14ac:dyDescent="0.35"/>
    <row r="925" ht="14.25" customHeight="1" x14ac:dyDescent="0.35"/>
    <row r="926" ht="14.25" customHeight="1" x14ac:dyDescent="0.35"/>
    <row r="927" ht="14.25" customHeight="1" x14ac:dyDescent="0.35"/>
    <row r="928" ht="14.25" customHeight="1" x14ac:dyDescent="0.35"/>
    <row r="929" ht="14.25" customHeight="1" x14ac:dyDescent="0.35"/>
    <row r="930" ht="14.25" customHeight="1" x14ac:dyDescent="0.35"/>
    <row r="931" ht="14.25" customHeight="1" x14ac:dyDescent="0.35"/>
    <row r="932" ht="14.25" customHeight="1" x14ac:dyDescent="0.35"/>
    <row r="933" ht="14.25" customHeight="1" x14ac:dyDescent="0.35"/>
    <row r="934" ht="14.25" customHeight="1" x14ac:dyDescent="0.35"/>
    <row r="935" ht="14.25" customHeight="1" x14ac:dyDescent="0.35"/>
    <row r="936" ht="14.25" customHeight="1" x14ac:dyDescent="0.35"/>
    <row r="937" ht="14.25" customHeight="1" x14ac:dyDescent="0.35"/>
    <row r="938" ht="14.25" customHeight="1" x14ac:dyDescent="0.35"/>
    <row r="939" ht="14.25" customHeight="1" x14ac:dyDescent="0.35"/>
    <row r="940" ht="14.25" customHeight="1" x14ac:dyDescent="0.35"/>
    <row r="941" ht="14.25" customHeight="1" x14ac:dyDescent="0.35"/>
    <row r="942" ht="14.25" customHeight="1" x14ac:dyDescent="0.35"/>
    <row r="943" ht="14.25" customHeight="1" x14ac:dyDescent="0.35"/>
    <row r="944" ht="14.25" customHeight="1" x14ac:dyDescent="0.35"/>
    <row r="945" ht="14.25" customHeight="1" x14ac:dyDescent="0.35"/>
    <row r="946" ht="14.25" customHeight="1" x14ac:dyDescent="0.35"/>
    <row r="947" ht="14.25" customHeight="1" x14ac:dyDescent="0.35"/>
    <row r="948" ht="14.25" customHeight="1" x14ac:dyDescent="0.35"/>
    <row r="949" ht="14.25" customHeight="1" x14ac:dyDescent="0.35"/>
    <row r="950" ht="14.25" customHeight="1" x14ac:dyDescent="0.35"/>
    <row r="951" ht="14.25" customHeight="1" x14ac:dyDescent="0.35"/>
    <row r="952" ht="14.25" customHeight="1" x14ac:dyDescent="0.35"/>
    <row r="953" ht="14.25" customHeight="1" x14ac:dyDescent="0.35"/>
    <row r="954" ht="14.25" customHeight="1" x14ac:dyDescent="0.35"/>
    <row r="955" ht="14.25" customHeight="1" x14ac:dyDescent="0.35"/>
    <row r="956" ht="14.25" customHeight="1" x14ac:dyDescent="0.35"/>
    <row r="957" ht="14.25" customHeight="1" x14ac:dyDescent="0.35"/>
    <row r="958" ht="14.25" customHeight="1" x14ac:dyDescent="0.35"/>
    <row r="959" ht="14.25" customHeight="1" x14ac:dyDescent="0.35"/>
    <row r="960" ht="14.25" customHeight="1" x14ac:dyDescent="0.35"/>
    <row r="961" ht="14.25" customHeight="1" x14ac:dyDescent="0.35"/>
    <row r="962" ht="14.25" customHeight="1" x14ac:dyDescent="0.35"/>
    <row r="963" ht="14.25" customHeight="1" x14ac:dyDescent="0.35"/>
    <row r="964" ht="14.25" customHeight="1" x14ac:dyDescent="0.35"/>
    <row r="965" ht="14.25" customHeight="1" x14ac:dyDescent="0.35"/>
    <row r="966" ht="14.25" customHeight="1" x14ac:dyDescent="0.35"/>
    <row r="967" ht="14.25" customHeight="1" x14ac:dyDescent="0.35"/>
    <row r="968" ht="14.25" customHeight="1" x14ac:dyDescent="0.35"/>
    <row r="969" ht="14.25" customHeight="1" x14ac:dyDescent="0.35"/>
    <row r="970" ht="14.25" customHeight="1" x14ac:dyDescent="0.35"/>
    <row r="971" ht="14.25" customHeight="1" x14ac:dyDescent="0.35"/>
    <row r="972" ht="14.25" customHeight="1" x14ac:dyDescent="0.35"/>
    <row r="973" ht="14.25" customHeight="1" x14ac:dyDescent="0.35"/>
    <row r="974" ht="14.25" customHeight="1" x14ac:dyDescent="0.35"/>
    <row r="975" ht="14.25" customHeight="1" x14ac:dyDescent="0.35"/>
    <row r="976" ht="14.25" customHeight="1" x14ac:dyDescent="0.35"/>
    <row r="977" ht="14.25" customHeight="1" x14ac:dyDescent="0.35"/>
    <row r="978" ht="14.25" customHeight="1" x14ac:dyDescent="0.35"/>
    <row r="979" ht="14.25" customHeight="1" x14ac:dyDescent="0.35"/>
    <row r="980" ht="14.25" customHeight="1" x14ac:dyDescent="0.35"/>
    <row r="981" ht="14.25" customHeight="1" x14ac:dyDescent="0.35"/>
    <row r="982" ht="14.25" customHeight="1" x14ac:dyDescent="0.35"/>
    <row r="983" ht="14.25" customHeight="1" x14ac:dyDescent="0.35"/>
    <row r="984" ht="14.25" customHeight="1" x14ac:dyDescent="0.35"/>
    <row r="985" ht="14.25" customHeight="1" x14ac:dyDescent="0.35"/>
    <row r="986" ht="14.25" customHeight="1" x14ac:dyDescent="0.35"/>
    <row r="987" ht="14.25" customHeight="1" x14ac:dyDescent="0.35"/>
    <row r="988" ht="14.25" customHeight="1" x14ac:dyDescent="0.35"/>
    <row r="989" ht="14.25" customHeight="1" x14ac:dyDescent="0.35"/>
    <row r="990" ht="14.25" customHeight="1" x14ac:dyDescent="0.35"/>
    <row r="991" ht="14.25" customHeight="1" x14ac:dyDescent="0.35"/>
    <row r="992" ht="14.25" customHeight="1" x14ac:dyDescent="0.35"/>
    <row r="993" ht="14.25" customHeight="1" x14ac:dyDescent="0.35"/>
    <row r="994" ht="14.25" customHeight="1" x14ac:dyDescent="0.35"/>
    <row r="995" ht="14.25" customHeight="1" x14ac:dyDescent="0.35"/>
    <row r="996" ht="14.25" customHeight="1" x14ac:dyDescent="0.35"/>
    <row r="997" ht="14.25" customHeight="1" x14ac:dyDescent="0.35"/>
    <row r="998" ht="14.25" customHeight="1" x14ac:dyDescent="0.35"/>
    <row r="999" ht="14.25" customHeight="1" x14ac:dyDescent="0.35"/>
    <row r="1000" ht="14.25" customHeight="1" x14ac:dyDescent="0.35"/>
  </sheetData>
  <pageMargins left="0.7" right="0.7" top="0.75" bottom="0.75" header="0.511811023622047" footer="0.511811023622047"/>
  <pageSetup orientation="landscape"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2:I15"/>
  <sheetViews>
    <sheetView showGridLines="0" zoomScaleNormal="100" workbookViewId="0">
      <selection activeCell="F14" sqref="F14"/>
    </sheetView>
  </sheetViews>
  <sheetFormatPr defaultColWidth="8.6328125" defaultRowHeight="14.5" x14ac:dyDescent="0.35"/>
  <cols>
    <col min="2" max="2" width="15.26953125" customWidth="1"/>
    <col min="3" max="3" width="18" customWidth="1"/>
    <col min="4" max="4" width="16.90625" customWidth="1"/>
    <col min="5" max="5" width="23.08984375" customWidth="1"/>
    <col min="6" max="6" width="12" customWidth="1"/>
    <col min="7" max="8" width="16" customWidth="1"/>
    <col min="9" max="9" width="12" customWidth="1"/>
  </cols>
  <sheetData>
    <row r="2" spans="2:9" ht="24.75" customHeight="1" x14ac:dyDescent="0.35">
      <c r="B2" s="72" t="s">
        <v>80</v>
      </c>
      <c r="C2" s="53"/>
      <c r="D2" s="53"/>
      <c r="E2" s="53"/>
      <c r="F2" s="53"/>
      <c r="G2" s="53"/>
      <c r="H2" s="53"/>
    </row>
    <row r="4" spans="2:9" ht="18" customHeight="1" x14ac:dyDescent="0.35">
      <c r="B4" s="13" t="s">
        <v>81</v>
      </c>
      <c r="C4" s="13" t="s">
        <v>82</v>
      </c>
      <c r="D4" s="13" t="s">
        <v>8</v>
      </c>
      <c r="E4" s="13" t="s">
        <v>9</v>
      </c>
      <c r="F4" s="13" t="s">
        <v>83</v>
      </c>
      <c r="G4" s="13" t="s">
        <v>84</v>
      </c>
      <c r="H4" s="13" t="s">
        <v>33</v>
      </c>
      <c r="I4" s="13" t="s">
        <v>85</v>
      </c>
    </row>
    <row r="5" spans="2:9" ht="15" customHeight="1" x14ac:dyDescent="0.35">
      <c r="B5" s="18" t="s">
        <v>11</v>
      </c>
      <c r="C5" s="18" t="s">
        <v>54</v>
      </c>
      <c r="D5" s="18" t="s">
        <v>55</v>
      </c>
      <c r="E5" s="18" t="s">
        <v>56</v>
      </c>
      <c r="F5" s="18">
        <v>199</v>
      </c>
      <c r="G5" s="19">
        <v>11380</v>
      </c>
      <c r="H5" s="22">
        <v>57.19</v>
      </c>
      <c r="I5" s="18" t="s">
        <v>57</v>
      </c>
    </row>
    <row r="6" spans="2:9" ht="15" customHeight="1" x14ac:dyDescent="0.35">
      <c r="B6" s="23" t="s">
        <v>13</v>
      </c>
      <c r="C6" s="23" t="s">
        <v>47</v>
      </c>
      <c r="D6" s="23" t="s">
        <v>48</v>
      </c>
      <c r="E6" s="23" t="s">
        <v>49</v>
      </c>
      <c r="F6" s="23">
        <v>258</v>
      </c>
      <c r="G6" s="24">
        <v>15445</v>
      </c>
      <c r="H6" s="25">
        <v>59.86</v>
      </c>
      <c r="I6" s="23" t="s">
        <v>50</v>
      </c>
    </row>
    <row r="7" spans="2:9" ht="15" customHeight="1" x14ac:dyDescent="0.35">
      <c r="B7" s="18" t="s">
        <v>15</v>
      </c>
      <c r="C7" s="18" t="s">
        <v>60</v>
      </c>
      <c r="D7" s="18" t="s">
        <v>61</v>
      </c>
      <c r="E7" s="18" t="s">
        <v>62</v>
      </c>
      <c r="F7" s="18">
        <v>122</v>
      </c>
      <c r="G7" s="19">
        <v>8670</v>
      </c>
      <c r="H7" s="22">
        <v>71.069999999999993</v>
      </c>
      <c r="I7" s="18" t="s">
        <v>63</v>
      </c>
    </row>
    <row r="8" spans="2:9" ht="15" customHeight="1" x14ac:dyDescent="0.35">
      <c r="B8" s="26" t="s">
        <v>77</v>
      </c>
      <c r="C8" s="26"/>
      <c r="D8" s="26"/>
      <c r="E8" s="26"/>
      <c r="F8" s="26">
        <v>579</v>
      </c>
      <c r="G8" s="27">
        <v>35495</v>
      </c>
      <c r="H8" s="26">
        <v>61.3</v>
      </c>
      <c r="I8" s="26" t="s">
        <v>86</v>
      </c>
    </row>
    <row r="10" spans="2:9" ht="21.75" customHeight="1" x14ac:dyDescent="0.35">
      <c r="B10" s="73" t="s">
        <v>87</v>
      </c>
      <c r="C10" s="53"/>
      <c r="D10" s="53"/>
      <c r="E10" s="53"/>
      <c r="F10" s="53"/>
      <c r="G10" s="53"/>
      <c r="H10" s="53"/>
    </row>
    <row r="11" spans="2:9" ht="15" customHeight="1" x14ac:dyDescent="0.35">
      <c r="B11" s="28" t="s">
        <v>9</v>
      </c>
      <c r="C11" s="28" t="s">
        <v>83</v>
      </c>
      <c r="D11" s="28" t="s">
        <v>84</v>
      </c>
      <c r="E11" s="28" t="s">
        <v>33</v>
      </c>
      <c r="F11" s="28" t="s">
        <v>85</v>
      </c>
    </row>
    <row r="12" spans="2:9" ht="15" customHeight="1" x14ac:dyDescent="0.35">
      <c r="B12" s="29" t="s">
        <v>56</v>
      </c>
      <c r="C12" s="29">
        <v>199</v>
      </c>
      <c r="D12" s="30">
        <v>11380</v>
      </c>
      <c r="E12" s="31">
        <v>57.19</v>
      </c>
      <c r="F12" s="29" t="s">
        <v>57</v>
      </c>
    </row>
    <row r="13" spans="2:9" ht="15" customHeight="1" x14ac:dyDescent="0.35">
      <c r="B13" s="18" t="s">
        <v>49</v>
      </c>
      <c r="C13" s="18">
        <v>258</v>
      </c>
      <c r="D13" s="19">
        <v>15445</v>
      </c>
      <c r="E13" s="22">
        <v>59.86</v>
      </c>
      <c r="F13" s="18" t="s">
        <v>50</v>
      </c>
    </row>
    <row r="14" spans="2:9" ht="15" customHeight="1" x14ac:dyDescent="0.35">
      <c r="B14" s="29" t="s">
        <v>62</v>
      </c>
      <c r="C14" s="29">
        <v>122</v>
      </c>
      <c r="D14" s="30">
        <v>8670</v>
      </c>
      <c r="E14" s="31">
        <v>71.069999999999993</v>
      </c>
      <c r="F14" s="29" t="s">
        <v>63</v>
      </c>
    </row>
    <row r="15" spans="2:9" ht="15" customHeight="1" x14ac:dyDescent="0.35">
      <c r="B15" s="26" t="s">
        <v>77</v>
      </c>
      <c r="C15" s="26">
        <v>579</v>
      </c>
      <c r="D15" s="27">
        <v>35495</v>
      </c>
      <c r="E15" s="26">
        <v>61.3</v>
      </c>
      <c r="F15" s="26" t="s">
        <v>86</v>
      </c>
    </row>
  </sheetData>
  <mergeCells count="2">
    <mergeCell ref="B2:H2"/>
    <mergeCell ref="B10:H10"/>
  </mergeCells>
  <pageMargins left="0.75" right="0.75" top="1" bottom="1"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B2:J15"/>
  <sheetViews>
    <sheetView showGridLines="0" zoomScaleNormal="100" workbookViewId="0">
      <selection activeCell="G23" sqref="G23"/>
    </sheetView>
  </sheetViews>
  <sheetFormatPr defaultColWidth="8.6328125" defaultRowHeight="14.5" x14ac:dyDescent="0.35"/>
  <cols>
    <col min="2" max="2" width="14.26953125" customWidth="1"/>
    <col min="3" max="3" width="12" customWidth="1"/>
    <col min="4" max="4" width="16" customWidth="1"/>
    <col min="5" max="5" width="10" customWidth="1"/>
    <col min="6" max="6" width="12" customWidth="1"/>
    <col min="7" max="8" width="16" customWidth="1"/>
    <col min="9" max="9" width="20.1796875" customWidth="1"/>
  </cols>
  <sheetData>
    <row r="2" spans="2:10" ht="24.75" customHeight="1" x14ac:dyDescent="0.35">
      <c r="B2" s="75" t="s">
        <v>88</v>
      </c>
      <c r="C2" s="53"/>
      <c r="D2" s="53"/>
      <c r="E2" s="53"/>
      <c r="F2" s="53"/>
      <c r="G2" s="53"/>
      <c r="H2" s="53"/>
      <c r="I2" s="53"/>
    </row>
    <row r="4" spans="2:10" ht="18" customHeight="1" x14ac:dyDescent="0.35">
      <c r="B4" s="13" t="s">
        <v>89</v>
      </c>
      <c r="C4" s="13" t="s">
        <v>90</v>
      </c>
      <c r="D4" s="13" t="s">
        <v>6</v>
      </c>
      <c r="E4" s="13" t="s">
        <v>91</v>
      </c>
      <c r="F4" s="13" t="s">
        <v>83</v>
      </c>
      <c r="G4" s="13" t="s">
        <v>84</v>
      </c>
      <c r="H4" s="13" t="s">
        <v>33</v>
      </c>
      <c r="I4" s="13" t="s">
        <v>92</v>
      </c>
    </row>
    <row r="5" spans="2:10" ht="15" customHeight="1" x14ac:dyDescent="0.35">
      <c r="B5" s="18" t="s">
        <v>10</v>
      </c>
      <c r="C5" s="18" t="s">
        <v>44</v>
      </c>
      <c r="D5" s="18" t="s">
        <v>45</v>
      </c>
      <c r="E5" s="19">
        <v>120</v>
      </c>
      <c r="F5" s="18">
        <v>110</v>
      </c>
      <c r="G5" s="19">
        <v>13200</v>
      </c>
      <c r="H5" s="22">
        <v>120</v>
      </c>
      <c r="I5" s="18" t="s">
        <v>46</v>
      </c>
    </row>
    <row r="6" spans="2:10" ht="15" customHeight="1" x14ac:dyDescent="0.35">
      <c r="B6" s="23" t="s">
        <v>14</v>
      </c>
      <c r="C6" s="23" t="s">
        <v>51</v>
      </c>
      <c r="D6" s="23" t="s">
        <v>52</v>
      </c>
      <c r="E6" s="24">
        <v>220</v>
      </c>
      <c r="F6" s="23">
        <v>45</v>
      </c>
      <c r="G6" s="24">
        <v>9900</v>
      </c>
      <c r="H6" s="25">
        <v>220</v>
      </c>
      <c r="I6" s="23" t="s">
        <v>53</v>
      </c>
    </row>
    <row r="7" spans="2:10" ht="15" customHeight="1" x14ac:dyDescent="0.35">
      <c r="B7" s="18" t="s">
        <v>17</v>
      </c>
      <c r="C7" s="18" t="s">
        <v>58</v>
      </c>
      <c r="D7" s="18" t="s">
        <v>52</v>
      </c>
      <c r="E7" s="19">
        <v>50</v>
      </c>
      <c r="F7" s="18">
        <v>118</v>
      </c>
      <c r="G7" s="19">
        <v>5900</v>
      </c>
      <c r="H7" s="22">
        <v>50</v>
      </c>
      <c r="I7" s="18" t="s">
        <v>59</v>
      </c>
    </row>
    <row r="8" spans="2:10" ht="15" customHeight="1" x14ac:dyDescent="0.35">
      <c r="B8" s="23" t="s">
        <v>16</v>
      </c>
      <c r="C8" s="23" t="s">
        <v>64</v>
      </c>
      <c r="D8" s="23" t="s">
        <v>45</v>
      </c>
      <c r="E8" s="24">
        <v>30</v>
      </c>
      <c r="F8" s="23">
        <v>127</v>
      </c>
      <c r="G8" s="24">
        <v>3810</v>
      </c>
      <c r="H8" s="25">
        <v>30</v>
      </c>
      <c r="I8" s="23" t="s">
        <v>65</v>
      </c>
    </row>
    <row r="9" spans="2:10" ht="15" customHeight="1" x14ac:dyDescent="0.35">
      <c r="B9" s="18" t="s">
        <v>12</v>
      </c>
      <c r="C9" s="18" t="s">
        <v>66</v>
      </c>
      <c r="D9" s="18" t="s">
        <v>45</v>
      </c>
      <c r="E9" s="19">
        <v>15</v>
      </c>
      <c r="F9" s="18">
        <v>179</v>
      </c>
      <c r="G9" s="19">
        <v>2685</v>
      </c>
      <c r="H9" s="22">
        <v>15</v>
      </c>
      <c r="I9" s="18" t="s">
        <v>67</v>
      </c>
    </row>
    <row r="10" spans="2:10" ht="15" customHeight="1" x14ac:dyDescent="0.35">
      <c r="B10" s="26" t="s">
        <v>77</v>
      </c>
      <c r="C10" s="26"/>
      <c r="D10" s="26"/>
      <c r="E10" s="26"/>
      <c r="F10" s="26"/>
      <c r="G10" s="27">
        <v>579</v>
      </c>
      <c r="H10" s="32">
        <v>35495</v>
      </c>
      <c r="I10" s="26">
        <v>61.3</v>
      </c>
      <c r="J10" s="26" t="s">
        <v>86</v>
      </c>
    </row>
    <row r="12" spans="2:10" ht="19.5" customHeight="1" x14ac:dyDescent="0.35">
      <c r="B12" s="74" t="s">
        <v>93</v>
      </c>
      <c r="C12" s="53"/>
      <c r="D12" s="53"/>
      <c r="E12" s="53"/>
      <c r="F12" s="53"/>
      <c r="G12" s="53"/>
      <c r="H12" s="53"/>
      <c r="I12" s="53"/>
    </row>
    <row r="13" spans="2:10" ht="15" customHeight="1" x14ac:dyDescent="0.35">
      <c r="B13" s="33" t="s">
        <v>6</v>
      </c>
      <c r="C13" s="33" t="s">
        <v>83</v>
      </c>
      <c r="D13" s="33" t="s">
        <v>84</v>
      </c>
      <c r="E13" s="33" t="s">
        <v>85</v>
      </c>
    </row>
    <row r="14" spans="2:10" ht="15" customHeight="1" x14ac:dyDescent="0.35">
      <c r="B14" s="34" t="s">
        <v>45</v>
      </c>
      <c r="C14" s="34">
        <v>416</v>
      </c>
      <c r="D14" s="35">
        <v>19695</v>
      </c>
      <c r="E14" s="34" t="s">
        <v>94</v>
      </c>
    </row>
    <row r="15" spans="2:10" ht="15" customHeight="1" x14ac:dyDescent="0.35">
      <c r="B15" s="18" t="s">
        <v>52</v>
      </c>
      <c r="C15" s="18">
        <v>163</v>
      </c>
      <c r="D15" s="19">
        <v>15800</v>
      </c>
      <c r="E15" s="18" t="s">
        <v>95</v>
      </c>
    </row>
  </sheetData>
  <mergeCells count="2">
    <mergeCell ref="B12:I12"/>
    <mergeCell ref="B2:I2"/>
  </mergeCells>
  <pageMargins left="0.75" right="0.75" top="1" bottom="1" header="0.511811023622047" footer="0.511811023622047"/>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2:G18"/>
  <sheetViews>
    <sheetView showGridLines="0" zoomScaleNormal="100" workbookViewId="0">
      <selection activeCell="G12" sqref="G12"/>
    </sheetView>
  </sheetViews>
  <sheetFormatPr defaultColWidth="8.6328125" defaultRowHeight="14.5" x14ac:dyDescent="0.35"/>
  <cols>
    <col min="2" max="4" width="12" customWidth="1"/>
    <col min="5" max="5" width="14" customWidth="1"/>
    <col min="6" max="6" width="20" customWidth="1"/>
    <col min="7" max="7" width="16" customWidth="1"/>
  </cols>
  <sheetData>
    <row r="2" spans="2:7" ht="24.75" customHeight="1" x14ac:dyDescent="0.35">
      <c r="B2" s="76" t="s">
        <v>96</v>
      </c>
      <c r="C2" s="53"/>
      <c r="D2" s="53"/>
      <c r="E2" s="53"/>
      <c r="F2" s="53"/>
      <c r="G2" s="53"/>
    </row>
    <row r="4" spans="2:7" ht="18" customHeight="1" x14ac:dyDescent="0.35">
      <c r="B4" s="36" t="s">
        <v>0</v>
      </c>
      <c r="C4" s="36" t="s">
        <v>97</v>
      </c>
      <c r="D4" s="36" t="s">
        <v>83</v>
      </c>
      <c r="E4" s="36" t="s">
        <v>41</v>
      </c>
      <c r="F4" s="36" t="s">
        <v>98</v>
      </c>
      <c r="G4" s="36" t="s">
        <v>99</v>
      </c>
    </row>
    <row r="5" spans="2:7" ht="15" customHeight="1" x14ac:dyDescent="0.35">
      <c r="B5" s="17">
        <v>45839</v>
      </c>
      <c r="C5" s="18" t="s">
        <v>100</v>
      </c>
      <c r="D5" s="18">
        <v>47</v>
      </c>
      <c r="E5" s="19">
        <v>1965</v>
      </c>
      <c r="F5" s="19">
        <v>1965</v>
      </c>
      <c r="G5" s="18"/>
    </row>
    <row r="6" spans="2:7" ht="15" customHeight="1" x14ac:dyDescent="0.35">
      <c r="B6" s="37">
        <v>45840</v>
      </c>
      <c r="C6" s="38" t="s">
        <v>101</v>
      </c>
      <c r="D6" s="38">
        <v>30</v>
      </c>
      <c r="E6" s="39">
        <v>2420</v>
      </c>
      <c r="F6" s="39">
        <v>4385</v>
      </c>
      <c r="G6" s="40" t="s">
        <v>102</v>
      </c>
    </row>
    <row r="7" spans="2:7" ht="15" customHeight="1" x14ac:dyDescent="0.35">
      <c r="B7" s="17">
        <v>45841</v>
      </c>
      <c r="C7" s="18" t="s">
        <v>103</v>
      </c>
      <c r="D7" s="18">
        <v>33</v>
      </c>
      <c r="E7" s="19">
        <v>2910</v>
      </c>
      <c r="F7" s="19">
        <v>7295</v>
      </c>
      <c r="G7" s="41" t="s">
        <v>104</v>
      </c>
    </row>
    <row r="8" spans="2:7" ht="15" customHeight="1" x14ac:dyDescent="0.35">
      <c r="B8" s="37">
        <v>45842</v>
      </c>
      <c r="C8" s="38" t="s">
        <v>105</v>
      </c>
      <c r="D8" s="38">
        <v>50</v>
      </c>
      <c r="E8" s="39">
        <v>900</v>
      </c>
      <c r="F8" s="39">
        <v>8195</v>
      </c>
      <c r="G8" s="42" t="s">
        <v>106</v>
      </c>
    </row>
    <row r="9" spans="2:7" ht="15" customHeight="1" x14ac:dyDescent="0.35">
      <c r="B9" s="17">
        <v>45843</v>
      </c>
      <c r="C9" s="18" t="s">
        <v>107</v>
      </c>
      <c r="D9" s="18">
        <v>31</v>
      </c>
      <c r="E9" s="19">
        <v>2570</v>
      </c>
      <c r="F9" s="19">
        <v>10765</v>
      </c>
      <c r="G9" s="41" t="s">
        <v>108</v>
      </c>
    </row>
    <row r="10" spans="2:7" ht="15" customHeight="1" x14ac:dyDescent="0.35">
      <c r="B10" s="37">
        <v>45844</v>
      </c>
      <c r="C10" s="38" t="s">
        <v>109</v>
      </c>
      <c r="D10" s="38">
        <v>58</v>
      </c>
      <c r="E10" s="39">
        <v>4020</v>
      </c>
      <c r="F10" s="39">
        <v>14785</v>
      </c>
      <c r="G10" s="40" t="s">
        <v>110</v>
      </c>
    </row>
    <row r="11" spans="2:7" ht="15" customHeight="1" x14ac:dyDescent="0.35">
      <c r="B11" s="17">
        <v>45845</v>
      </c>
      <c r="C11" s="18" t="s">
        <v>111</v>
      </c>
      <c r="D11" s="18">
        <v>32</v>
      </c>
      <c r="E11" s="19">
        <v>4760</v>
      </c>
      <c r="F11" s="19">
        <v>19545</v>
      </c>
      <c r="G11" s="41" t="s">
        <v>112</v>
      </c>
    </row>
    <row r="12" spans="2:7" ht="15" customHeight="1" x14ac:dyDescent="0.35">
      <c r="B12" s="37">
        <v>45846</v>
      </c>
      <c r="C12" s="38" t="s">
        <v>100</v>
      </c>
      <c r="D12" s="38">
        <v>89</v>
      </c>
      <c r="E12" s="39">
        <v>6550</v>
      </c>
      <c r="F12" s="39">
        <v>26095</v>
      </c>
      <c r="G12" s="40" t="s">
        <v>113</v>
      </c>
    </row>
    <row r="13" spans="2:7" ht="15" customHeight="1" x14ac:dyDescent="0.35">
      <c r="B13" s="17">
        <v>45847</v>
      </c>
      <c r="C13" s="18" t="s">
        <v>101</v>
      </c>
      <c r="D13" s="18">
        <v>143</v>
      </c>
      <c r="E13" s="19">
        <v>3150</v>
      </c>
      <c r="F13" s="19">
        <v>29245</v>
      </c>
      <c r="G13" s="43" t="s">
        <v>114</v>
      </c>
    </row>
    <row r="14" spans="2:7" ht="15" customHeight="1" x14ac:dyDescent="0.35">
      <c r="B14" s="37">
        <v>45848</v>
      </c>
      <c r="C14" s="38" t="s">
        <v>103</v>
      </c>
      <c r="D14" s="38">
        <v>66</v>
      </c>
      <c r="E14" s="39">
        <v>6250</v>
      </c>
      <c r="F14" s="39">
        <v>35495</v>
      </c>
      <c r="G14" s="40" t="s">
        <v>115</v>
      </c>
    </row>
    <row r="15" spans="2:7" ht="15" customHeight="1" x14ac:dyDescent="0.35">
      <c r="B15" s="44" t="s">
        <v>116</v>
      </c>
      <c r="C15" s="26"/>
      <c r="D15" s="26">
        <v>579</v>
      </c>
      <c r="E15" s="27">
        <v>35495</v>
      </c>
      <c r="F15" s="26"/>
      <c r="G15" s="26"/>
    </row>
    <row r="17" spans="2:4" ht="15" customHeight="1" x14ac:dyDescent="0.35">
      <c r="B17" s="21" t="s">
        <v>117</v>
      </c>
      <c r="C17" s="45">
        <v>45846</v>
      </c>
      <c r="D17" s="46" t="s">
        <v>118</v>
      </c>
    </row>
    <row r="18" spans="2:4" ht="15" customHeight="1" x14ac:dyDescent="0.35">
      <c r="B18" s="21" t="s">
        <v>119</v>
      </c>
      <c r="C18" s="47">
        <v>45842</v>
      </c>
      <c r="D18" s="48" t="s">
        <v>120</v>
      </c>
    </row>
  </sheetData>
  <mergeCells count="1">
    <mergeCell ref="B2:G2"/>
  </mergeCells>
  <pageMargins left="0.75" right="0.75" top="1" bottom="1"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S11"/>
  <sheetViews>
    <sheetView showGridLines="0" zoomScaleNormal="100" workbookViewId="0">
      <selection activeCell="W6" sqref="W6"/>
    </sheetView>
  </sheetViews>
  <sheetFormatPr defaultColWidth="8.6328125" defaultRowHeight="14.5" x14ac:dyDescent="0.35"/>
  <sheetData>
    <row r="1" spans="1:19" ht="15" customHeight="1" x14ac:dyDescent="0.35">
      <c r="A1" s="49" t="s">
        <v>40</v>
      </c>
      <c r="B1" s="49" t="s">
        <v>41</v>
      </c>
      <c r="C1" s="49" t="s">
        <v>3</v>
      </c>
      <c r="D1" s="49"/>
      <c r="E1" s="49" t="s">
        <v>9</v>
      </c>
      <c r="F1" s="49" t="s">
        <v>4</v>
      </c>
      <c r="G1" s="49"/>
      <c r="H1" s="49" t="s">
        <v>0</v>
      </c>
      <c r="I1" s="49" t="s">
        <v>4</v>
      </c>
      <c r="J1" s="49"/>
      <c r="K1" s="49" t="s">
        <v>43</v>
      </c>
      <c r="L1" s="49" t="s">
        <v>4</v>
      </c>
      <c r="M1" s="49"/>
      <c r="N1" s="49" t="s">
        <v>6</v>
      </c>
      <c r="O1" s="49" t="s">
        <v>4</v>
      </c>
      <c r="P1" s="49" t="s">
        <v>40</v>
      </c>
      <c r="Q1" s="49" t="s">
        <v>45</v>
      </c>
      <c r="R1" s="49" t="s">
        <v>52</v>
      </c>
      <c r="S1" s="49"/>
    </row>
    <row r="2" spans="1:19" ht="15" customHeight="1" x14ac:dyDescent="0.35">
      <c r="A2" s="49" t="s">
        <v>44</v>
      </c>
      <c r="B2" s="49">
        <v>13200</v>
      </c>
      <c r="C2" s="49">
        <v>110</v>
      </c>
      <c r="D2" s="49"/>
      <c r="E2" s="49" t="s">
        <v>56</v>
      </c>
      <c r="F2" s="49">
        <v>11380</v>
      </c>
      <c r="G2" s="49"/>
      <c r="H2" s="49" t="s">
        <v>121</v>
      </c>
      <c r="I2" s="49">
        <v>1965</v>
      </c>
      <c r="J2" s="49"/>
      <c r="K2" s="49" t="s">
        <v>54</v>
      </c>
      <c r="L2" s="49">
        <v>11380</v>
      </c>
      <c r="M2" s="49"/>
      <c r="N2" s="49" t="s">
        <v>45</v>
      </c>
      <c r="O2" s="49">
        <v>19695</v>
      </c>
      <c r="P2" s="49" t="s">
        <v>44</v>
      </c>
      <c r="Q2" s="49">
        <v>13200</v>
      </c>
      <c r="R2" s="49">
        <v>0</v>
      </c>
      <c r="S2" s="49"/>
    </row>
    <row r="3" spans="1:19" ht="15" customHeight="1" x14ac:dyDescent="0.35">
      <c r="A3" s="49" t="s">
        <v>51</v>
      </c>
      <c r="B3" s="49">
        <v>9900</v>
      </c>
      <c r="C3" s="49">
        <v>45</v>
      </c>
      <c r="D3" s="49"/>
      <c r="E3" s="49" t="s">
        <v>49</v>
      </c>
      <c r="F3" s="49">
        <v>15445</v>
      </c>
      <c r="G3" s="49"/>
      <c r="H3" s="49" t="s">
        <v>122</v>
      </c>
      <c r="I3" s="49">
        <v>2420</v>
      </c>
      <c r="J3" s="49"/>
      <c r="K3" s="49" t="s">
        <v>47</v>
      </c>
      <c r="L3" s="49">
        <v>15445</v>
      </c>
      <c r="M3" s="49"/>
      <c r="N3" s="49" t="s">
        <v>52</v>
      </c>
      <c r="O3" s="49">
        <v>15800</v>
      </c>
      <c r="P3" s="49" t="s">
        <v>66</v>
      </c>
      <c r="Q3" s="49">
        <v>2685</v>
      </c>
      <c r="R3" s="49">
        <v>0</v>
      </c>
      <c r="S3" s="49"/>
    </row>
    <row r="4" spans="1:19" ht="15" customHeight="1" x14ac:dyDescent="0.35">
      <c r="A4" s="49" t="s">
        <v>58</v>
      </c>
      <c r="B4" s="49">
        <v>5900</v>
      </c>
      <c r="C4" s="49">
        <v>118</v>
      </c>
      <c r="D4" s="49"/>
      <c r="E4" s="49" t="s">
        <v>62</v>
      </c>
      <c r="F4" s="49">
        <v>8670</v>
      </c>
      <c r="G4" s="49"/>
      <c r="H4" s="49" t="s">
        <v>123</v>
      </c>
      <c r="I4" s="49">
        <v>2910</v>
      </c>
      <c r="J4" s="49"/>
      <c r="K4" s="49" t="s">
        <v>60</v>
      </c>
      <c r="L4" s="49">
        <v>8670</v>
      </c>
      <c r="M4" s="49"/>
      <c r="N4" s="49"/>
      <c r="O4" s="49"/>
      <c r="P4" s="49" t="s">
        <v>64</v>
      </c>
      <c r="Q4" s="49">
        <v>3810</v>
      </c>
      <c r="R4" s="49">
        <v>0</v>
      </c>
      <c r="S4" s="49"/>
    </row>
    <row r="5" spans="1:19" ht="15" customHeight="1" x14ac:dyDescent="0.35">
      <c r="A5" s="49" t="s">
        <v>64</v>
      </c>
      <c r="B5" s="49">
        <v>3810</v>
      </c>
      <c r="C5" s="49">
        <v>127</v>
      </c>
      <c r="D5" s="49"/>
      <c r="E5" s="49"/>
      <c r="F5" s="49"/>
      <c r="G5" s="49"/>
      <c r="H5" s="49" t="s">
        <v>124</v>
      </c>
      <c r="I5" s="49">
        <v>900</v>
      </c>
      <c r="J5" s="49"/>
      <c r="K5" s="49"/>
      <c r="L5" s="49"/>
      <c r="M5" s="49"/>
      <c r="N5" s="49"/>
      <c r="O5" s="49"/>
      <c r="P5" s="49" t="s">
        <v>58</v>
      </c>
      <c r="Q5" s="49">
        <v>0</v>
      </c>
      <c r="R5" s="49">
        <v>5900</v>
      </c>
      <c r="S5" s="49"/>
    </row>
    <row r="6" spans="1:19" ht="15" customHeight="1" x14ac:dyDescent="0.35">
      <c r="A6" s="49" t="s">
        <v>66</v>
      </c>
      <c r="B6" s="49">
        <v>2685</v>
      </c>
      <c r="C6" s="49">
        <v>179</v>
      </c>
      <c r="D6" s="49"/>
      <c r="E6" s="49"/>
      <c r="F6" s="49"/>
      <c r="G6" s="49"/>
      <c r="H6" s="49" t="s">
        <v>125</v>
      </c>
      <c r="I6" s="49">
        <v>2570</v>
      </c>
      <c r="J6" s="49"/>
      <c r="K6" s="49"/>
      <c r="L6" s="49"/>
      <c r="M6" s="49"/>
      <c r="N6" s="49"/>
      <c r="O6" s="49"/>
      <c r="P6" s="49" t="s">
        <v>51</v>
      </c>
      <c r="Q6" s="49">
        <v>0</v>
      </c>
      <c r="R6" s="49">
        <v>9900</v>
      </c>
      <c r="S6" s="49"/>
    </row>
    <row r="7" spans="1:19" ht="15" customHeight="1" x14ac:dyDescent="0.35">
      <c r="A7" s="49"/>
      <c r="B7" s="49"/>
      <c r="C7" s="49"/>
      <c r="D7" s="49"/>
      <c r="E7" s="49"/>
      <c r="F7" s="49"/>
      <c r="G7" s="49"/>
      <c r="H7" s="49" t="s">
        <v>126</v>
      </c>
      <c r="I7" s="49">
        <v>4020</v>
      </c>
      <c r="J7" s="49"/>
      <c r="K7" s="49"/>
      <c r="L7" s="49"/>
      <c r="M7" s="49"/>
      <c r="N7" s="49"/>
      <c r="O7" s="49"/>
      <c r="P7" s="49"/>
      <c r="Q7" s="49"/>
      <c r="R7" s="49"/>
      <c r="S7" s="49"/>
    </row>
    <row r="8" spans="1:19" ht="15" customHeight="1" x14ac:dyDescent="0.35">
      <c r="H8" t="s">
        <v>127</v>
      </c>
      <c r="I8">
        <v>4760</v>
      </c>
    </row>
    <row r="9" spans="1:19" ht="15" customHeight="1" x14ac:dyDescent="0.35">
      <c r="H9" t="s">
        <v>128</v>
      </c>
      <c r="I9">
        <v>6550</v>
      </c>
    </row>
    <row r="10" spans="1:19" ht="15" customHeight="1" x14ac:dyDescent="0.35">
      <c r="H10" t="s">
        <v>129</v>
      </c>
      <c r="I10">
        <v>3150</v>
      </c>
    </row>
    <row r="11" spans="1:19" ht="15" customHeight="1" x14ac:dyDescent="0.35">
      <c r="H11" t="s">
        <v>130</v>
      </c>
      <c r="I11">
        <v>6250</v>
      </c>
    </row>
  </sheetData>
  <pageMargins left="0.75" right="0.75" top="1" bottom="1" header="0.511811023622047" footer="0.511811023622047"/>
  <pageSetup paperSize="9" orientation="portrait" horizontalDpi="300" verticalDpi="30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C11"/>
  <sheetViews>
    <sheetView zoomScaleNormal="100" workbookViewId="0">
      <selection activeCell="A9" sqref="A9"/>
    </sheetView>
  </sheetViews>
  <sheetFormatPr defaultColWidth="11.54296875" defaultRowHeight="14.5" x14ac:dyDescent="0.35"/>
  <cols>
    <col min="1" max="1" width="25" customWidth="1"/>
    <col min="2" max="2" width="18" customWidth="1"/>
    <col min="3" max="3" width="15" customWidth="1"/>
  </cols>
  <sheetData>
    <row r="1" spans="1:3" ht="30" customHeight="1" x14ac:dyDescent="0.35">
      <c r="A1" s="77" t="s">
        <v>134</v>
      </c>
      <c r="B1" s="53"/>
      <c r="C1" s="53"/>
    </row>
    <row r="2" spans="1:3" s="80" customFormat="1" ht="13.75" customHeight="1" x14ac:dyDescent="0.35">
      <c r="A2" s="78" t="s">
        <v>131</v>
      </c>
      <c r="B2" s="79"/>
      <c r="C2" s="79"/>
    </row>
    <row r="3" spans="1:3" ht="13.75" customHeight="1" x14ac:dyDescent="0.35">
      <c r="A3" t="s">
        <v>132</v>
      </c>
    </row>
    <row r="4" spans="1:3" ht="13.75" customHeight="1" x14ac:dyDescent="0.35"/>
    <row r="5" spans="1:3" ht="13.75" customHeight="1" x14ac:dyDescent="0.35">
      <c r="A5" s="97" t="s">
        <v>5</v>
      </c>
      <c r="B5" s="49" t="s">
        <v>133</v>
      </c>
    </row>
    <row r="6" spans="1:3" ht="13.75" customHeight="1" x14ac:dyDescent="0.35">
      <c r="A6" s="49" t="s">
        <v>58</v>
      </c>
      <c r="B6" s="98">
        <v>5900</v>
      </c>
    </row>
    <row r="7" spans="1:3" ht="13.75" customHeight="1" x14ac:dyDescent="0.35">
      <c r="A7" s="49" t="s">
        <v>64</v>
      </c>
      <c r="B7" s="98">
        <v>3810</v>
      </c>
    </row>
    <row r="8" spans="1:3" ht="13.75" customHeight="1" x14ac:dyDescent="0.35">
      <c r="A8" s="49" t="s">
        <v>44</v>
      </c>
      <c r="B8" s="98">
        <v>13200</v>
      </c>
    </row>
    <row r="9" spans="1:3" ht="13.75" customHeight="1" x14ac:dyDescent="0.35">
      <c r="A9" s="49" t="s">
        <v>66</v>
      </c>
      <c r="B9" s="98">
        <v>2685</v>
      </c>
    </row>
    <row r="10" spans="1:3" ht="13.75" customHeight="1" x14ac:dyDescent="0.35">
      <c r="A10" s="49" t="s">
        <v>51</v>
      </c>
      <c r="B10" s="98">
        <v>9900</v>
      </c>
    </row>
    <row r="11" spans="1:3" ht="13.75" customHeight="1" x14ac:dyDescent="0.35">
      <c r="A11" s="49" t="s">
        <v>77</v>
      </c>
      <c r="B11" s="98">
        <v>35495</v>
      </c>
    </row>
  </sheetData>
  <mergeCells count="2">
    <mergeCell ref="A1:C1"/>
    <mergeCell ref="A2:C2"/>
  </mergeCell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 &amp;Kffffff&amp;A</oddHeader>
    <oddFooter>&amp;C&amp;"Times New Roman,Regular"&amp;12 &amp;KffffffPage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C9"/>
  <sheetViews>
    <sheetView zoomScaleNormal="100" workbookViewId="0">
      <selection activeCell="D22" sqref="D22"/>
    </sheetView>
  </sheetViews>
  <sheetFormatPr defaultColWidth="11.54296875" defaultRowHeight="14.5" x14ac:dyDescent="0.35"/>
  <cols>
    <col min="1" max="1" width="25" customWidth="1"/>
    <col min="2" max="2" width="18" customWidth="1"/>
    <col min="3" max="3" width="15" customWidth="1"/>
  </cols>
  <sheetData>
    <row r="1" spans="1:3" ht="30" customHeight="1" x14ac:dyDescent="0.35">
      <c r="A1" s="77" t="s">
        <v>135</v>
      </c>
      <c r="B1" s="53"/>
      <c r="C1" s="53"/>
    </row>
    <row r="2" spans="1:3" s="80" customFormat="1" ht="13.75" customHeight="1" x14ac:dyDescent="0.35">
      <c r="A2" s="78" t="s">
        <v>131</v>
      </c>
      <c r="B2" s="79"/>
      <c r="C2" s="79"/>
    </row>
    <row r="3" spans="1:3" ht="13.75" customHeight="1" x14ac:dyDescent="0.35">
      <c r="A3" t="s">
        <v>132</v>
      </c>
    </row>
    <row r="4" spans="1:3" ht="13.75" customHeight="1" x14ac:dyDescent="0.35"/>
    <row r="5" spans="1:3" ht="13.75" customHeight="1" x14ac:dyDescent="0.35">
      <c r="A5" s="97" t="s">
        <v>9</v>
      </c>
      <c r="B5" s="49" t="s">
        <v>133</v>
      </c>
    </row>
    <row r="6" spans="1:3" ht="13.75" customHeight="1" x14ac:dyDescent="0.35">
      <c r="A6" s="49" t="s">
        <v>62</v>
      </c>
      <c r="B6" s="98">
        <v>8670</v>
      </c>
    </row>
    <row r="7" spans="1:3" ht="13.75" customHeight="1" x14ac:dyDescent="0.35">
      <c r="A7" s="49" t="s">
        <v>49</v>
      </c>
      <c r="B7" s="98">
        <v>15445</v>
      </c>
    </row>
    <row r="8" spans="1:3" ht="13.75" customHeight="1" x14ac:dyDescent="0.35">
      <c r="A8" s="49" t="s">
        <v>56</v>
      </c>
      <c r="B8" s="98">
        <v>11380</v>
      </c>
    </row>
    <row r="9" spans="1:3" ht="13.75" customHeight="1" x14ac:dyDescent="0.35">
      <c r="A9" s="49" t="s">
        <v>77</v>
      </c>
      <c r="B9" s="98">
        <v>35495</v>
      </c>
    </row>
  </sheetData>
  <mergeCells count="2">
    <mergeCell ref="A1:C1"/>
    <mergeCell ref="A2:C2"/>
  </mergeCell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 &amp;Kffffff&amp;A</oddHeader>
    <oddFooter>&amp;C&amp;"Times New Roman,Regular"&amp;12 &amp;KffffffPage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C9"/>
  <sheetViews>
    <sheetView zoomScaleNormal="100" workbookViewId="0">
      <selection activeCell="A5" sqref="A5:B9"/>
    </sheetView>
  </sheetViews>
  <sheetFormatPr defaultColWidth="11.54296875" defaultRowHeight="14.5" x14ac:dyDescent="0.35"/>
  <cols>
    <col min="1" max="1" width="25" customWidth="1"/>
    <col min="2" max="2" width="18" customWidth="1"/>
    <col min="3" max="3" width="15" customWidth="1"/>
  </cols>
  <sheetData>
    <row r="1" spans="1:3" ht="30" customHeight="1" x14ac:dyDescent="0.35">
      <c r="A1" s="77" t="s">
        <v>136</v>
      </c>
      <c r="B1" s="53"/>
      <c r="C1" s="53"/>
    </row>
    <row r="2" spans="1:3" s="80" customFormat="1" ht="13.75" customHeight="1" x14ac:dyDescent="0.35">
      <c r="A2" s="78" t="s">
        <v>131</v>
      </c>
      <c r="B2" s="79"/>
      <c r="C2" s="79"/>
    </row>
    <row r="3" spans="1:3" ht="13.75" customHeight="1" x14ac:dyDescent="0.35">
      <c r="A3" t="s">
        <v>132</v>
      </c>
    </row>
    <row r="4" spans="1:3" ht="13.75" customHeight="1" x14ac:dyDescent="0.35"/>
    <row r="5" spans="1:3" ht="13.75" customHeight="1" x14ac:dyDescent="0.35">
      <c r="A5" s="97" t="s">
        <v>7</v>
      </c>
      <c r="B5" s="49" t="s">
        <v>133</v>
      </c>
    </row>
    <row r="6" spans="1:3" ht="13.75" customHeight="1" x14ac:dyDescent="0.35">
      <c r="A6" s="49" t="s">
        <v>47</v>
      </c>
      <c r="B6" s="98">
        <v>15445</v>
      </c>
    </row>
    <row r="7" spans="1:3" ht="13.75" customHeight="1" x14ac:dyDescent="0.35">
      <c r="A7" s="49" t="s">
        <v>60</v>
      </c>
      <c r="B7" s="98">
        <v>8670</v>
      </c>
    </row>
    <row r="8" spans="1:3" ht="13.75" customHeight="1" x14ac:dyDescent="0.35">
      <c r="A8" s="49" t="s">
        <v>54</v>
      </c>
      <c r="B8" s="98">
        <v>11380</v>
      </c>
    </row>
    <row r="9" spans="1:3" ht="13.75" customHeight="1" x14ac:dyDescent="0.35">
      <c r="A9" s="49" t="s">
        <v>77</v>
      </c>
      <c r="B9" s="98">
        <v>35495</v>
      </c>
    </row>
  </sheetData>
  <mergeCells count="2">
    <mergeCell ref="A1:C1"/>
    <mergeCell ref="A2:C2"/>
  </mergeCell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 &amp;Kffffff&amp;A</oddHeader>
    <oddFooter>&amp;C&amp;"Times New Roman,Regular"&amp;12 &amp;KffffffPage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C16"/>
  <sheetViews>
    <sheetView zoomScaleNormal="100" workbookViewId="0">
      <selection activeCell="E31" sqref="E31"/>
    </sheetView>
  </sheetViews>
  <sheetFormatPr defaultColWidth="11.54296875" defaultRowHeight="14.5" x14ac:dyDescent="0.35"/>
  <cols>
    <col min="1" max="1" width="25" customWidth="1"/>
    <col min="2" max="2" width="18" customWidth="1"/>
    <col min="3" max="3" width="15" customWidth="1"/>
  </cols>
  <sheetData>
    <row r="1" spans="1:3" ht="30" customHeight="1" x14ac:dyDescent="0.35">
      <c r="A1" s="77" t="s">
        <v>137</v>
      </c>
      <c r="B1" s="53"/>
      <c r="C1" s="53"/>
    </row>
    <row r="2" spans="1:3" s="80" customFormat="1" ht="13.75" customHeight="1" x14ac:dyDescent="0.35">
      <c r="A2" s="78" t="s">
        <v>131</v>
      </c>
      <c r="B2" s="79"/>
      <c r="C2" s="79"/>
    </row>
    <row r="3" spans="1:3" ht="13.75" customHeight="1" x14ac:dyDescent="0.35">
      <c r="A3" t="s">
        <v>132</v>
      </c>
    </row>
    <row r="4" spans="1:3" ht="13.75" customHeight="1" x14ac:dyDescent="0.35"/>
    <row r="5" spans="1:3" ht="13.75" customHeight="1" x14ac:dyDescent="0.35">
      <c r="A5" s="97" t="s">
        <v>0</v>
      </c>
      <c r="B5" s="49" t="s">
        <v>133</v>
      </c>
    </row>
    <row r="6" spans="1:3" ht="13.75" customHeight="1" x14ac:dyDescent="0.35">
      <c r="A6" s="99">
        <v>45839</v>
      </c>
      <c r="B6" s="98">
        <v>1965</v>
      </c>
    </row>
    <row r="7" spans="1:3" ht="13.75" customHeight="1" x14ac:dyDescent="0.35">
      <c r="A7" s="99">
        <v>45840</v>
      </c>
      <c r="B7" s="98">
        <v>2420</v>
      </c>
    </row>
    <row r="8" spans="1:3" ht="13.75" customHeight="1" x14ac:dyDescent="0.35">
      <c r="A8" s="99">
        <v>45841</v>
      </c>
      <c r="B8" s="98">
        <v>2910</v>
      </c>
    </row>
    <row r="9" spans="1:3" ht="13.75" customHeight="1" x14ac:dyDescent="0.35">
      <c r="A9" s="99">
        <v>45842</v>
      </c>
      <c r="B9" s="98">
        <v>900</v>
      </c>
    </row>
    <row r="10" spans="1:3" ht="13.75" customHeight="1" x14ac:dyDescent="0.35">
      <c r="A10" s="99">
        <v>45843</v>
      </c>
      <c r="B10" s="98">
        <v>2570</v>
      </c>
    </row>
    <row r="11" spans="1:3" ht="13.75" customHeight="1" x14ac:dyDescent="0.35">
      <c r="A11" s="99">
        <v>45844</v>
      </c>
      <c r="B11" s="98">
        <v>4020</v>
      </c>
    </row>
    <row r="12" spans="1:3" ht="13.75" customHeight="1" x14ac:dyDescent="0.35">
      <c r="A12" s="99">
        <v>45845</v>
      </c>
      <c r="B12" s="98">
        <v>4760</v>
      </c>
    </row>
    <row r="13" spans="1:3" ht="13.75" customHeight="1" x14ac:dyDescent="0.35">
      <c r="A13" s="99">
        <v>45846</v>
      </c>
      <c r="B13" s="98">
        <v>6550</v>
      </c>
    </row>
    <row r="14" spans="1:3" ht="13.75" customHeight="1" x14ac:dyDescent="0.35">
      <c r="A14" s="99">
        <v>45847</v>
      </c>
      <c r="B14" s="98">
        <v>3150</v>
      </c>
    </row>
    <row r="15" spans="1:3" ht="13.75" customHeight="1" x14ac:dyDescent="0.35">
      <c r="A15" s="99">
        <v>45848</v>
      </c>
      <c r="B15" s="98">
        <v>6250</v>
      </c>
    </row>
    <row r="16" spans="1:3" ht="13.75" customHeight="1" x14ac:dyDescent="0.35">
      <c r="A16" s="49" t="s">
        <v>77</v>
      </c>
      <c r="B16" s="98">
        <v>35495</v>
      </c>
    </row>
  </sheetData>
  <mergeCells count="2">
    <mergeCell ref="A1:C1"/>
    <mergeCell ref="A2:C2"/>
  </mergeCell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 &amp;Kffffff&amp;A</oddHeader>
    <oddFooter>&amp;C&amp;"Times New Roman,Regular"&amp;12 &amp;KffffffPage &amp;P</oddFooter>
  </headerFooter>
</worksheet>
</file>

<file path=docMetadata/LabelInfo.xml><?xml version="1.0" encoding="utf-8"?>
<clbl:labelList xmlns:clbl="http://schemas.microsoft.com/office/2020/mipLabelMetadata">
  <clbl:label id="{8fffbf29-92e7-40a6-a1a7-76d2a1fe9820}" enabled="1" method="Privileged" siteId="{a99a1e61-d69c-4458-9bca-b9857e258772}"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Final Dashboard</vt:lpstr>
      <vt:lpstr>Sales Dashboard</vt:lpstr>
      <vt:lpstr>Sales</vt:lpstr>
      <vt:lpstr>product table</vt:lpstr>
      <vt:lpstr>stores table</vt:lpstr>
      <vt:lpstr>Date Vs unit sold</vt:lpstr>
      <vt:lpstr>Product Vs region unit sold</vt:lpstr>
      <vt:lpstr>Product category Vs unit sold</vt:lpstr>
      <vt:lpstr>product ID Vs Revenue</vt:lpstr>
      <vt:lpstr>Store &amp; Region Analysis</vt:lpstr>
      <vt:lpstr>Product Performance</vt:lpstr>
      <vt:lpstr>Daily Sales Trend</vt:lpstr>
      <vt:lpstr>Charts</vt:lpstr>
      <vt:lpstr>PT_ByProduct</vt:lpstr>
      <vt:lpstr>PT_ByRegion</vt:lpstr>
      <vt:lpstr>PT_ByStore</vt:lpstr>
      <vt:lpstr>PT_ByDate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Geetha Gunasekaran</dc:creator>
  <cp:lastModifiedBy>Nirmal Mani C</cp:lastModifiedBy>
  <cp:revision>3</cp:revision>
  <dcterms:created xsi:type="dcterms:W3CDTF">2025-08-25T05:08:34Z</dcterms:created>
  <dcterms:modified xsi:type="dcterms:W3CDTF">2026-06-04T10:26:28Z</dcterms:modified>
  <dc:language>en-US</dc:language>
</cp:coreProperties>
</file>